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Configuration" sheetId="2" state="visible" r:id="rId4"/>
    <sheet name="Planning Chantier" sheetId="3" state="visible" r:id="rId5"/>
    <sheet name="Calendrier" sheetId="4" state="visible" r:id="rId6"/>
    <sheet name="Récapitulatif" sheetId="5" state="visible" r:id="rId7"/>
    <sheet name="Listes" sheetId="6" state="hidden"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<sst xmlns="http://schemas.openxmlformats.org/spreadsheetml/2006/main" count="159" uniqueCount="111">
  <si>
    <t xml:space="preserve">MODE D'EMPLOI DU PLANNING CHANTIER</t>
  </si>
  <si>
    <t xml:space="preserve">1. Onglet "Configuration"</t>
  </si>
  <si>
    <t xml:space="preserve">Commencez ici. Renseignez la liste des tâches type (catégorie, nom, durée unitaire estimée en heures), la liste des exécutants, et les paramètres du calendrier : heures travaillées par jour, jours travaillés dans la semaine (Oui/Non) et jours fériés/indisponibles.</t>
  </si>
  <si>
    <t xml:space="preserve">2. Onglet "Planning Chantier"</t>
  </si>
  <si>
    <t xml:space="preserve">Chaque machine occupe un bloc de 7 lignes : une ligne d'en-tête colorée (repère machine, ex. I03, et date de début souhaitée), suivie de 6 lignes de tâches. Sur chaque ligne de tâche, choisissez la Tâche dans la liste déroulante (alimentée par l'onglet Configuration) et l'Exécutant. La durée et le total d'heures de la machine se calculent automatiquement.</t>
  </si>
  <si>
    <t xml:space="preserve">3. Assigner les mêmes tâches à plusieurs machines</t>
  </si>
  <si>
    <t xml:space="preserve">Rien à recopier : sélectionnez simplement la même tâche dans la liste déroulante sur le bloc d'une autre machine (ex. I02), avec l'exécutant de votre choix. Chaque machine a son propre total.</t>
  </si>
  <si>
    <t xml:space="preserve">4. Onglet "Calendrier"</t>
  </si>
  <si>
    <t xml:space="preserve">La "Synthèse par machine" reprend le total d'heures et la date de début de chaque machine, et calcule automatiquement la date de fin estimée et le nombre de jours nécessaires. La grille "Répartition journalière" étale ensuite les heures de chaque machine jour par jour, en respectant la capacité journalière et les jours travaillés définis dans Configuration. Les colonnes grisées sont les jours non travaillés.</t>
  </si>
  <si>
    <t xml:space="preserve">5. Onglet "Récapitulatif"</t>
  </si>
  <si>
    <t xml:space="preserve">Généré automatiquement : heures totales, nombre de machines, date de fin de chantier estimée, répartition par machine, par exécutant et par catégorie de tâche, avec graphiques prêts à présenter au chef de projet.</t>
  </si>
  <si>
    <t xml:space="preserve">6. Ajouter une machine ou plus de tâches</t>
  </si>
  <si>
    <t xml:space="preserve">Pour une 7ᵉ machine : dupliquez un bloc de 7 lignes dans "Planning Chantier" (copier/coller les formules), puis ajoutez la machine dans le tableau "Synthèse par machine" et une ligne dans la grille de l'onglet "Calendrier" en copiant les formules d'une ligne machine existante.</t>
  </si>
  <si>
    <t xml:space="preserve">7. Code couleur</t>
  </si>
  <si>
    <t xml:space="preserve">Fond jaune / texte bleu = cellule à compléter. Fond gris clair = exemple fourni à titre indicatif. Dans le Calendrier, le dégradé bleu indique la charge horaire du jour, le gris = jour non travaillé.</t>
  </si>
  <si>
    <t xml:space="preserve">CONFIGURATION — TÂCHES, EXÉCUTANTS ET PARAMÈTRES CALENDRIER</t>
  </si>
  <si>
    <t xml:space="preserve">1. Liste des tâches (utilisées dans le Planning)</t>
  </si>
  <si>
    <t xml:space="preserve">N°</t>
  </si>
  <si>
    <t xml:space="preserve">Catégorie</t>
  </si>
  <si>
    <t xml:space="preserve">Tâche</t>
  </si>
  <si>
    <t xml:space="preserve">Durée unitaire
estimée (h)</t>
  </si>
  <si>
    <t xml:space="preserve">Commentaire</t>
  </si>
  <si>
    <t xml:space="preserve">Réception &amp; implantation</t>
  </si>
  <si>
    <t xml:space="preserve">Réception et déballage machine</t>
  </si>
  <si>
    <t xml:space="preserve">Contrôle visuel + vérification bon de livraison</t>
  </si>
  <si>
    <t xml:space="preserve">Positionnement &amp; calage</t>
  </si>
  <si>
    <t xml:space="preserve">Positionnement et calage au sol</t>
  </si>
  <si>
    <t xml:space="preserve">Prévoir chariot élévateur</t>
  </si>
  <si>
    <t xml:space="preserve">Raccordements électriques</t>
  </si>
  <si>
    <t xml:space="preserve">Raccordement électrique et mise à la terre</t>
  </si>
  <si>
    <t xml:space="preserve">Selon plan électrique fournisseur</t>
  </si>
  <si>
    <t xml:space="preserve">Raccordements fluides / air</t>
  </si>
  <si>
    <t xml:space="preserve">Raccordement air comprimé</t>
  </si>
  <si>
    <t xml:space="preserve">Tests &amp; mise en service</t>
  </si>
  <si>
    <t xml:space="preserve">Tests et mise en service</t>
  </si>
  <si>
    <t xml:space="preserve">Essais à vide puis en charge</t>
  </si>
  <si>
    <t xml:space="preserve">2. Exécutants</t>
  </si>
  <si>
    <t xml:space="preserve">Nom</t>
  </si>
  <si>
    <t xml:space="preserve">Équipe / Rôle</t>
  </si>
  <si>
    <t xml:space="preserve">J. Martin</t>
  </si>
  <si>
    <t xml:space="preserve">Équipe A</t>
  </si>
  <si>
    <t xml:space="preserve">L. Dupuis</t>
  </si>
  <si>
    <t xml:space="preserve">Équipe B</t>
  </si>
  <si>
    <t xml:space="preserve">3. Paramètres du calendrier</t>
  </si>
  <si>
    <t xml:space="preserve">Heures travaillées par jour :</t>
  </si>
  <si>
    <t xml:space="preserve">Jours travaillés</t>
  </si>
  <si>
    <t xml:space="preserve">Jour</t>
  </si>
  <si>
    <t xml:space="preserve">Travaillé ?</t>
  </si>
  <si>
    <t xml:space="preserve">Lundi</t>
  </si>
  <si>
    <t xml:space="preserve">Oui</t>
  </si>
  <si>
    <t xml:space="preserve">Mardi</t>
  </si>
  <si>
    <t xml:space="preserve">Mercredi</t>
  </si>
  <si>
    <t xml:space="preserve">Jeudi</t>
  </si>
  <si>
    <t xml:space="preserve">Vendredi</t>
  </si>
  <si>
    <t xml:space="preserve">Samedi</t>
  </si>
  <si>
    <t xml:space="preserve">Non</t>
  </si>
  <si>
    <t xml:space="preserve">Dimanche</t>
  </si>
  <si>
    <t xml:space="preserve">Jours fériés / indisponibles (optionnel)</t>
  </si>
  <si>
    <t xml:space="preserve">Date</t>
  </si>
  <si>
    <t xml:space="preserve">PLANNING CHANTIER — INSTALLATION MACHINES</t>
  </si>
  <si>
    <t xml:space="preserve">Chantier :</t>
  </si>
  <si>
    <t xml:space="preserve">Nom du chantier</t>
  </si>
  <si>
    <t xml:space="preserve">Chef de projet :</t>
  </si>
  <si>
    <t xml:space="preserve">Nom du chef de projet</t>
  </si>
  <si>
    <t xml:space="preserve">Date d'édition :</t>
  </si>
  <si>
    <t xml:space="preserve">Repère machine</t>
  </si>
  <si>
    <t xml:space="preserve">Date de début
souhaitée</t>
  </si>
  <si>
    <t xml:space="preserve">Exécutant</t>
  </si>
  <si>
    <t xml:space="preserve">Durée
(h)</t>
  </si>
  <si>
    <t xml:space="preserve">Statut</t>
  </si>
  <si>
    <t xml:space="preserve">Total heures
machine (h)</t>
  </si>
  <si>
    <t xml:space="preserve">Date fin
estimée</t>
  </si>
  <si>
    <t xml:space="preserve">I03</t>
  </si>
  <si>
    <t xml:space="preserve">Terminé</t>
  </si>
  <si>
    <t xml:space="preserve">RAS</t>
  </si>
  <si>
    <t xml:space="preserve">En cours</t>
  </si>
  <si>
    <t xml:space="preserve">Sol à vérifier avant calage définitif</t>
  </si>
  <si>
    <t xml:space="preserve">À planifier</t>
  </si>
  <si>
    <t xml:space="preserve">I02</t>
  </si>
  <si>
    <t xml:space="preserve">TOTAL GÉNÉRAL</t>
  </si>
  <si>
    <t xml:space="preserve">Légende :</t>
  </si>
  <si>
    <t xml:space="preserve">Cellule jaune = à compléter par vous</t>
  </si>
  <si>
    <t xml:space="preserve">Ligne colorée = une machine. Les lignes en dessous = tâches assignées à cette machine (liste déroulante alimentée par l'onglet Configuration).</t>
  </si>
  <si>
    <t xml:space="preserve">La durée (h) et le total par machine se calculent automatiquement à partir de l'onglet Configuration. La date de fin estimée vient de l'onglet Calendrier.</t>
  </si>
  <si>
    <t xml:space="preserve">Pour ajouter une machine : insérer 7 lignes (1 en-tête + 6 tâches) sur le modèle d'un bloc existant, et ajouter le bloc au Calendrier (synthèse + grille).</t>
  </si>
  <si>
    <t xml:space="preserve">CALENDRIER — RÉPARTITION DES HEURES PAR MACHINE</t>
  </si>
  <si>
    <t xml:space="preserve">Paramètres modifiables dans l'onglet Configuration : heures travaillées / jour, jours travaillés, jours fériés.</t>
  </si>
  <si>
    <t xml:space="preserve">Synthèse par machine</t>
  </si>
  <si>
    <t xml:space="preserve">Machine</t>
  </si>
  <si>
    <t xml:space="preserve">Date début</t>
  </si>
  <si>
    <t xml:space="preserve">Total heures (h)</t>
  </si>
  <si>
    <t xml:space="preserve">Jours nécessaires
(estimation)</t>
  </si>
  <si>
    <t xml:space="preserve">Date fin estimée</t>
  </si>
  <si>
    <t xml:space="preserve">Répartition journalière</t>
  </si>
  <si>
    <t xml:space="preserve">Chaque cellule = heures affectées ce jour-là pour la machine (calcul automatique, respecte la capacité journalière et les jours travaillés).</t>
  </si>
  <si>
    <t xml:space="preserve">Capacité (h)</t>
  </si>
  <si>
    <t xml:space="preserve">RÉCAPITULATIF — SYNTHÈSE POUR LE CHEF DE PROJET</t>
  </si>
  <si>
    <t xml:space="preserve">Heures totales</t>
  </si>
  <si>
    <t xml:space="preserve">Machines</t>
  </si>
  <si>
    <t xml:space="preserve">Heures / machine
(moyenne)</t>
  </si>
  <si>
    <t xml:space="preserve">Fin de chantier
estimée</t>
  </si>
  <si>
    <t xml:space="preserve">HEURES PAR MACHINE</t>
  </si>
  <si>
    <t xml:space="preserve">HEURES PAR EXÉCUTANT</t>
  </si>
  <si>
    <t xml:space="preserve">Heures (h)</t>
  </si>
  <si>
    <t xml:space="preserve">HEURES PAR CATÉGORIE DE TÂCHE</t>
  </si>
  <si>
    <t xml:space="preserve">Câblage &amp; paramétrage</t>
  </si>
  <si>
    <t xml:space="preserve">Formation opérateurs</t>
  </si>
  <si>
    <t xml:space="preserve">Finitions &amp; nettoyage</t>
  </si>
  <si>
    <t xml:space="preserve">Catégories</t>
  </si>
  <si>
    <t xml:space="preserve">Statuts</t>
  </si>
  <si>
    <t xml:space="preserve">OuiNon</t>
  </si>
</sst>
</file>

<file path=xl/styles.xml><?xml version="1.0" encoding="utf-8"?>
<styleSheet xmlns="http://schemas.openxmlformats.org/spreadsheetml/2006/main">
  <numFmts count="8">
    <numFmt numFmtId="164" formatCode="General"/>
    <numFmt numFmtId="165" formatCode="0.0"/>
    <numFmt numFmtId="166" formatCode="dd/mm/yyyy"/>
    <numFmt numFmtId="167" formatCode="0"/>
    <numFmt numFmtId="168" formatCode="dd/mm"/>
    <numFmt numFmtId="169" formatCode="0.#"/>
    <numFmt numFmtId="170" formatCode="0.#;;;"/>
    <numFmt numFmtId="171" formatCode="0.0&quot; h&quot;"/>
  </numFmts>
  <fonts count="18">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2"/>
      <color rgb="FF1F4E78"/>
      <name val="Arial"/>
      <family val="0"/>
      <charset val="1"/>
    </font>
    <font>
      <sz val="10"/>
      <name val="Arial"/>
      <family val="0"/>
      <charset val="1"/>
    </font>
    <font>
      <b val="true"/>
      <sz val="11"/>
      <color rgb="FFFFFFFF"/>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i val="true"/>
      <sz val="9"/>
      <color rgb="FF7F7F7F"/>
      <name val="Arial"/>
      <family val="0"/>
      <charset val="1"/>
    </font>
    <font>
      <b val="true"/>
      <sz val="8"/>
      <name val="Arial"/>
      <family val="0"/>
      <charset val="1"/>
    </font>
    <font>
      <sz val="8"/>
      <name val="Arial"/>
      <family val="0"/>
      <charset val="1"/>
    </font>
    <font>
      <b val="true"/>
      <sz val="18"/>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s>
  <fills count="13">
    <fill>
      <patternFill patternType="none"/>
    </fill>
    <fill>
      <patternFill patternType="gray125"/>
    </fill>
    <fill>
      <patternFill patternType="solid">
        <fgColor rgb="FF1F4E78"/>
        <bgColor rgb="FF003366"/>
      </patternFill>
    </fill>
    <fill>
      <patternFill patternType="solid">
        <fgColor rgb="FF2E75B6"/>
        <bgColor rgb="FF4F81BD"/>
      </patternFill>
    </fill>
    <fill>
      <patternFill patternType="solid">
        <fgColor rgb="FFF2F2F2"/>
        <bgColor rgb="FFEFEFEF"/>
      </patternFill>
    </fill>
    <fill>
      <patternFill patternType="solid">
        <fgColor rgb="FFFFFF99"/>
        <bgColor rgb="FFF2F2F2"/>
      </patternFill>
    </fill>
    <fill>
      <patternFill patternType="solid">
        <fgColor rgb="FFEFEFEF"/>
        <bgColor rgb="FFF2F2F2"/>
      </patternFill>
    </fill>
    <fill>
      <patternFill patternType="solid">
        <fgColor rgb="FF548235"/>
        <bgColor rgb="FF339966"/>
      </patternFill>
    </fill>
    <fill>
      <patternFill patternType="solid">
        <fgColor rgb="FFBF8F00"/>
        <bgColor rgb="FFFF6600"/>
      </patternFill>
    </fill>
    <fill>
      <patternFill patternType="solid">
        <fgColor rgb="FF833C0C"/>
        <bgColor rgb="FFC0504D"/>
      </patternFill>
    </fill>
    <fill>
      <patternFill patternType="solid">
        <fgColor rgb="FF7030A0"/>
        <bgColor rgb="FF800080"/>
      </patternFill>
    </fill>
    <fill>
      <patternFill patternType="solid">
        <fgColor rgb="FFC00000"/>
        <bgColor rgb="FF800000"/>
      </patternFill>
    </fill>
    <fill>
      <patternFill patternType="solid">
        <fgColor rgb="FFBDD7EE"/>
        <bgColor rgb="FFD9D9D9"/>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9" fillId="5" borderId="0" xfId="0" applyFont="true" applyBorder="true" applyAlignment="false" applyProtection="false">
      <alignment horizontal="general" vertical="bottom" textRotation="0" wrapText="false" indent="0" shrinkToFit="false"/>
      <protection locked="true" hidden="false"/>
    </xf>
    <xf numFmtId="166" fontId="9" fillId="5" borderId="0"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center" vertical="center"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6" fontId="10" fillId="7" borderId="1" xfId="0" applyFont="true" applyBorder="true" applyAlignment="true" applyProtection="false">
      <alignment horizontal="center" vertical="center" textRotation="0" wrapText="tru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6" fontId="7" fillId="7"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5" fontId="7" fillId="8" borderId="1" xfId="0" applyFont="true" applyBorder="true" applyAlignment="true" applyProtection="false">
      <alignment horizontal="center" vertical="center" textRotation="0" wrapText="true" indent="0" shrinkToFit="false"/>
      <protection locked="true" hidden="false"/>
    </xf>
    <xf numFmtId="166" fontId="7" fillId="8"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5" fontId="7" fillId="10" borderId="1" xfId="0" applyFont="true" applyBorder="true" applyAlignment="true" applyProtection="false">
      <alignment horizontal="center" vertical="center" textRotation="0" wrapText="true" indent="0" shrinkToFit="false"/>
      <protection locked="true" hidden="false"/>
    </xf>
    <xf numFmtId="166" fontId="7" fillId="10" borderId="1" xfId="0" applyFont="true" applyBorder="tru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center" vertical="center" textRotation="0" wrapText="true" indent="0" shrinkToFit="false"/>
      <protection locked="true" hidden="false"/>
    </xf>
    <xf numFmtId="164" fontId="10" fillId="11" borderId="1" xfId="0" applyFont="true" applyBorder="true" applyAlignment="true" applyProtection="false">
      <alignment horizontal="center" vertical="center" textRotation="0" wrapText="tru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5" fontId="7" fillId="11" borderId="1" xfId="0" applyFont="true" applyBorder="true" applyAlignment="true" applyProtection="false">
      <alignment horizontal="center" vertical="center" textRotation="0" wrapText="true" indent="0" shrinkToFit="false"/>
      <protection locked="true" hidden="false"/>
    </xf>
    <xf numFmtId="166" fontId="7" fillId="11"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5" fontId="8" fillId="12" borderId="1" xfId="0" applyFont="true" applyBorder="true" applyAlignment="true" applyProtection="false">
      <alignment horizontal="center" vertical="center" textRotation="0" wrapText="true" indent="0" shrinkToFit="false"/>
      <protection locked="true" hidden="false"/>
    </xf>
    <xf numFmtId="166" fontId="8" fillId="12" borderId="1" xfId="0" applyFont="true" applyBorder="true" applyAlignment="true" applyProtection="false">
      <alignment horizontal="center" vertical="center" textRotation="0" wrapText="true" indent="0" shrinkToFit="false"/>
      <protection locked="true" hidden="false"/>
    </xf>
    <xf numFmtId="164" fontId="11" fillId="5"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center" vertical="center" textRotation="0" wrapText="tru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8" fontId="12"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9" fontId="13"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70" fontId="13" fillId="0" borderId="1"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71" fontId="14" fillId="12" borderId="1" xfId="0" applyFont="true" applyBorder="true" applyAlignment="true" applyProtection="false">
      <alignment horizontal="center" vertical="center" textRotation="0" wrapText="true" indent="0" shrinkToFit="false"/>
      <protection locked="true" hidden="false"/>
    </xf>
    <xf numFmtId="167" fontId="14" fillId="12" borderId="1" xfId="0" applyFont="true" applyBorder="true" applyAlignment="true" applyProtection="false">
      <alignment horizontal="center" vertical="center" textRotation="0" wrapText="true" indent="0" shrinkToFit="false"/>
      <protection locked="true" hidden="false"/>
    </xf>
    <xf numFmtId="166" fontId="14" fillId="1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D9D9D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7B7B7"/>
      <rgbColor rgb="FF7F7F7F"/>
      <rgbColor rgb="FF9999FF"/>
      <rgbColor rgb="FF7030A0"/>
      <rgbColor rgb="FFF9F9F9"/>
      <rgbColor rgb="FFEFEFE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D9D9D9"/>
      <rgbColor rgb="FFFFFF99"/>
      <rgbColor rgb="FF99CCFF"/>
      <rgbColor rgb="FFFF99CC"/>
      <rgbColor rgb="FFCC99FF"/>
      <rgbColor rgb="FFFFCC99"/>
      <rgbColor rgb="FF2E75B6"/>
      <rgbColor rgb="FF33CCCC"/>
      <rgbColor rgb="FF99CC00"/>
      <rgbColor rgb="FFFFCC00"/>
      <rgbColor rgb="FFBF8F00"/>
      <rgbColor rgb="FFFF6600"/>
      <rgbColor rgb="FF4F81BD"/>
      <rgbColor rgb="FF878787"/>
      <rgbColor rgb="FF003366"/>
      <rgbColor rgb="FF339966"/>
      <rgbColor rgb="FF003300"/>
      <rgbColor rgb="FF333300"/>
      <rgbColor rgb="FF833C0C"/>
      <rgbColor rgb="FFC0504D"/>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Heures par machine</a:t>
            </a:r>
          </a:p>
        </c:rich>
      </c:tx>
      <c:overlay val="0"/>
      <c:spPr>
        <a:noFill/>
        <a:ln w="0">
          <a:noFill/>
        </a:ln>
      </c:spPr>
    </c:title>
    <c:autoTitleDeleted val="0"/>
    <c:plotArea>
      <c:barChart>
        <c:barDir val="col"/>
        <c:grouping val="clustered"/>
        <c:varyColors val="0"/>
        <c:ser>
          <c:idx val="0"/>
          <c:order val="0"/>
          <c:tx>
            <c:strRef>
              <c:f>Récapitulatif!C9</c:f>
              <c:strCache>
                <c:ptCount val="1"/>
                <c:pt idx="0">
                  <c:v>Heures (h)</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Récapitulatif!$B$10:$B$15</c:f>
              <c:strCache>
                <c:ptCount val="6"/>
                <c:pt idx="0">
                  <c:v>I03</c:v>
                </c:pt>
                <c:pt idx="1">
                  <c:v>I02</c:v>
                </c:pt>
                <c:pt idx="2">
                  <c:v/>
                </c:pt>
                <c:pt idx="3">
                  <c:v/>
                </c:pt>
                <c:pt idx="4">
                  <c:v/>
                </c:pt>
                <c:pt idx="5">
                  <c:v/>
                </c:pt>
              </c:strCache>
            </c:strRef>
          </c:cat>
          <c:val>
            <c:numRef>
              <c:f>Récapitulatif!$C$10:$C$15</c:f>
              <c:numCache>
                <c:formatCode>0.0</c:formatCode>
                <c:ptCount val="6"/>
                <c:pt idx="0">
                  <c:v>14</c:v>
                </c:pt>
                <c:pt idx="1">
                  <c:v>14</c:v>
                </c:pt>
              </c:numCache>
            </c:numRef>
          </c:val>
        </c:ser>
        <c:gapWidth val="150"/>
        <c:overlap val="0"/>
        <c:axId val="26787119"/>
        <c:axId val="10094018"/>
      </c:barChart>
      <c:catAx>
        <c:axId val="2678711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94018"/>
        <c:crosses val="autoZero"/>
        <c:auto val="1"/>
        <c:lblAlgn val="ctr"/>
        <c:lblOffset val="100"/>
        <c:noMultiLvlLbl val="0"/>
      </c:catAx>
      <c:valAx>
        <c:axId val="1009401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Heures (h)</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78711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Heures par exécutant</a:t>
            </a:r>
          </a:p>
        </c:rich>
      </c:tx>
      <c:overlay val="0"/>
      <c:spPr>
        <a:noFill/>
        <a:ln w="0">
          <a:noFill/>
        </a:ln>
      </c:spPr>
    </c:title>
    <c:autoTitleDeleted val="0"/>
    <c:plotArea>
      <c:barChart>
        <c:barDir val="col"/>
        <c:grouping val="clustered"/>
        <c:varyColors val="0"/>
        <c:ser>
          <c:idx val="0"/>
          <c:order val="0"/>
          <c:tx>
            <c:strRef>
              <c:f>Récapitulatif!F9</c:f>
              <c:strCache>
                <c:ptCount val="1"/>
                <c:pt idx="0">
                  <c:v>Heures (h)</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Récapitulatif!$E$10:$E$19</c:f>
              <c:strCache>
                <c:ptCount val="10"/>
                <c:pt idx="0">
                  <c:v>J. Martin</c:v>
                </c:pt>
                <c:pt idx="1">
                  <c:v>L. Dupuis</c:v>
                </c:pt>
                <c:pt idx="2">
                  <c:v/>
                </c:pt>
                <c:pt idx="3">
                  <c:v/>
                </c:pt>
                <c:pt idx="4">
                  <c:v/>
                </c:pt>
                <c:pt idx="5">
                  <c:v/>
                </c:pt>
                <c:pt idx="6">
                  <c:v/>
                </c:pt>
                <c:pt idx="7">
                  <c:v/>
                </c:pt>
                <c:pt idx="8">
                  <c:v/>
                </c:pt>
                <c:pt idx="9">
                  <c:v/>
                </c:pt>
              </c:strCache>
            </c:strRef>
          </c:cat>
          <c:val>
            <c:numRef>
              <c:f>Récapitulatif!$F$10:$F$19</c:f>
              <c:numCache>
                <c:formatCode>0.0</c:formatCode>
                <c:ptCount val="10"/>
                <c:pt idx="0">
                  <c:v>14</c:v>
                </c:pt>
                <c:pt idx="1">
                  <c:v>14</c:v>
                </c:pt>
              </c:numCache>
            </c:numRef>
          </c:val>
        </c:ser>
        <c:gapWidth val="150"/>
        <c:overlap val="0"/>
        <c:axId val="75512310"/>
        <c:axId val="57576646"/>
      </c:barChart>
      <c:catAx>
        <c:axId val="755123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576646"/>
        <c:crosses val="autoZero"/>
        <c:auto val="1"/>
        <c:lblAlgn val="ctr"/>
        <c:lblOffset val="100"/>
        <c:noMultiLvlLbl val="0"/>
      </c:catAx>
      <c:valAx>
        <c:axId val="575766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Heures (h)</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51231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Heures par catégorie</a:t>
            </a:r>
          </a:p>
        </c:rich>
      </c:tx>
      <c:overlay val="0"/>
      <c:spPr>
        <a:noFill/>
        <a:ln w="0">
          <a:noFill/>
        </a:ln>
      </c:spPr>
    </c:title>
    <c:autoTitleDeleted val="0"/>
    <c:plotArea>
      <c:barChart>
        <c:barDir val="bar"/>
        <c:grouping val="clustered"/>
        <c:varyColors val="0"/>
        <c:ser>
          <c:idx val="0"/>
          <c:order val="0"/>
          <c:tx>
            <c:strRef>
              <c:f>Récapitulatif!C19</c:f>
              <c:strCache>
                <c:ptCount val="1"/>
                <c:pt idx="0">
                  <c:v>Heures (h)</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Récapitulatif!$B$20:$B$27</c:f>
              <c:strCache>
                <c:ptCount val="8"/>
                <c:pt idx="0">
                  <c:v>Réception &amp; implantation</c:v>
                </c:pt>
                <c:pt idx="1">
                  <c:v>Positionnement &amp; calage</c:v>
                </c:pt>
                <c:pt idx="2">
                  <c:v>Raccordements électriques</c:v>
                </c:pt>
                <c:pt idx="3">
                  <c:v>Raccordements fluides / air</c:v>
                </c:pt>
                <c:pt idx="4">
                  <c:v>Câblage &amp; paramétrage</c:v>
                </c:pt>
                <c:pt idx="5">
                  <c:v>Tests &amp; mise en service</c:v>
                </c:pt>
                <c:pt idx="6">
                  <c:v>Formation opérateurs</c:v>
                </c:pt>
                <c:pt idx="7">
                  <c:v>Finitions &amp; nettoyage</c:v>
                </c:pt>
              </c:strCache>
            </c:strRef>
          </c:cat>
          <c:val>
            <c:numRef>
              <c:f>Récapitulatif!$C$20:$C$27</c:f>
              <c:numCache>
                <c:formatCode>0.0</c:formatCode>
                <c:ptCount val="8"/>
                <c:pt idx="0">
                  <c:v>6</c:v>
                </c:pt>
                <c:pt idx="1">
                  <c:v>12</c:v>
                </c:pt>
                <c:pt idx="2">
                  <c:v>10</c:v>
                </c:pt>
                <c:pt idx="3">
                  <c:v>0</c:v>
                </c:pt>
                <c:pt idx="4">
                  <c:v>0</c:v>
                </c:pt>
                <c:pt idx="5">
                  <c:v>0</c:v>
                </c:pt>
                <c:pt idx="6">
                  <c:v>0</c:v>
                </c:pt>
                <c:pt idx="7">
                  <c:v>0</c:v>
                </c:pt>
              </c:numCache>
            </c:numRef>
          </c:val>
        </c:ser>
        <c:gapWidth val="150"/>
        <c:overlap val="0"/>
        <c:axId val="91780544"/>
        <c:axId val="31857316"/>
      </c:barChart>
      <c:catAx>
        <c:axId val="91780544"/>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Heures (h)</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857316"/>
        <c:crosses val="autoZero"/>
        <c:auto val="1"/>
        <c:lblAlgn val="ctr"/>
        <c:lblOffset val="100"/>
        <c:noMultiLvlLbl val="0"/>
      </c:catAx>
      <c:valAx>
        <c:axId val="3185731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7805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34</xdr:row>
      <xdr:rowOff>0</xdr:rowOff>
    </xdr:from>
    <xdr:to>
      <xdr:col>4</xdr:col>
      <xdr:colOff>683640</xdr:colOff>
      <xdr:row>49</xdr:row>
      <xdr:rowOff>21960</xdr:rowOff>
    </xdr:to>
    <xdr:graphicFrame>
      <xdr:nvGraphicFramePr>
        <xdr:cNvPr id="0" name="Chart 1"/>
        <xdr:cNvGraphicFramePr/>
      </xdr:nvGraphicFramePr>
      <xdr:xfrm>
        <a:off x="266760" y="6858000"/>
        <a:ext cx="503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34</xdr:row>
      <xdr:rowOff>0</xdr:rowOff>
    </xdr:from>
    <xdr:to>
      <xdr:col>7</xdr:col>
      <xdr:colOff>683640</xdr:colOff>
      <xdr:row>49</xdr:row>
      <xdr:rowOff>21960</xdr:rowOff>
    </xdr:to>
    <xdr:graphicFrame>
      <xdr:nvGraphicFramePr>
        <xdr:cNvPr id="1" name="Chart 2"/>
        <xdr:cNvGraphicFramePr/>
      </xdr:nvGraphicFramePr>
      <xdr:xfrm>
        <a:off x="4622760" y="6858000"/>
        <a:ext cx="50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29</xdr:row>
      <xdr:rowOff>0</xdr:rowOff>
    </xdr:from>
    <xdr:to>
      <xdr:col>4</xdr:col>
      <xdr:colOff>1403640</xdr:colOff>
      <xdr:row>44</xdr:row>
      <xdr:rowOff>21960</xdr:rowOff>
    </xdr:to>
    <xdr:graphicFrame>
      <xdr:nvGraphicFramePr>
        <xdr:cNvPr id="2" name="Chart 3"/>
        <xdr:cNvGraphicFramePr/>
      </xdr:nvGraphicFramePr>
      <xdr:xfrm>
        <a:off x="266760" y="590544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05"/>
  </cols>
  <sheetData>
    <row r="1" customFormat="false" ht="25.5" hidden="false" customHeight="true" outlineLevel="0" collapsed="false">
      <c r="A1" s="1" t="s">
        <v>0</v>
      </c>
      <c r="B1" s="1"/>
    </row>
    <row r="3" customFormat="false" ht="15" hidden="false" customHeight="false" outlineLevel="0" collapsed="false">
      <c r="A3" s="2" t="s">
        <v>1</v>
      </c>
      <c r="B3" s="2"/>
    </row>
    <row r="4" customFormat="false" ht="45.75" hidden="false" customHeight="true" outlineLevel="0" collapsed="false">
      <c r="A4" s="3" t="s">
        <v>2</v>
      </c>
      <c r="B4" s="3"/>
    </row>
    <row r="6" customFormat="false" ht="15" hidden="false" customHeight="false" outlineLevel="0" collapsed="false">
      <c r="A6" s="2" t="s">
        <v>3</v>
      </c>
      <c r="B6" s="2"/>
    </row>
    <row r="7" customFormat="false" ht="45.75" hidden="false" customHeight="true" outlineLevel="0" collapsed="false">
      <c r="A7" s="3" t="s">
        <v>4</v>
      </c>
      <c r="B7" s="3"/>
    </row>
    <row r="9" customFormat="false" ht="15" hidden="false" customHeight="false" outlineLevel="0" collapsed="false">
      <c r="A9" s="2" t="s">
        <v>5</v>
      </c>
      <c r="B9" s="2"/>
    </row>
    <row r="10" customFormat="false" ht="45.75" hidden="false" customHeight="true" outlineLevel="0" collapsed="false">
      <c r="A10" s="3" t="s">
        <v>6</v>
      </c>
      <c r="B10" s="3"/>
    </row>
    <row r="12" customFormat="false" ht="15" hidden="false" customHeight="false" outlineLevel="0" collapsed="false">
      <c r="A12" s="2" t="s">
        <v>7</v>
      </c>
      <c r="B12" s="2"/>
    </row>
    <row r="13" customFormat="false" ht="45.75" hidden="false" customHeight="true" outlineLevel="0" collapsed="false">
      <c r="A13" s="3" t="s">
        <v>8</v>
      </c>
      <c r="B13" s="3"/>
    </row>
    <row r="15" customFormat="false" ht="15" hidden="false" customHeight="false" outlineLevel="0" collapsed="false">
      <c r="A15" s="2" t="s">
        <v>9</v>
      </c>
      <c r="B15" s="2"/>
    </row>
    <row r="16" customFormat="false" ht="45.75" hidden="false" customHeight="true" outlineLevel="0" collapsed="false">
      <c r="A16" s="3" t="s">
        <v>10</v>
      </c>
      <c r="B16" s="3"/>
    </row>
    <row r="18" customFormat="false" ht="15" hidden="false" customHeight="false" outlineLevel="0" collapsed="false">
      <c r="A18" s="2" t="s">
        <v>11</v>
      </c>
      <c r="B18" s="2"/>
    </row>
    <row r="19" customFormat="false" ht="45.75" hidden="false" customHeight="true" outlineLevel="0" collapsed="false">
      <c r="A19" s="3" t="s">
        <v>12</v>
      </c>
      <c r="B19" s="3"/>
    </row>
    <row r="21" customFormat="false" ht="15" hidden="false" customHeight="false" outlineLevel="0" collapsed="false">
      <c r="A21" s="2" t="s">
        <v>13</v>
      </c>
      <c r="B21" s="2"/>
    </row>
    <row r="22" customFormat="false" ht="45.75" hidden="false" customHeight="true" outlineLevel="0" collapsed="false">
      <c r="A22" s="3" t="s">
        <v>14</v>
      </c>
      <c r="B22" s="3"/>
    </row>
  </sheetData>
  <mergeCells count="15">
    <mergeCell ref="A1:B1"/>
    <mergeCell ref="A3:B3"/>
    <mergeCell ref="A4:B4"/>
    <mergeCell ref="A6:B6"/>
    <mergeCell ref="A7:B7"/>
    <mergeCell ref="A9:B9"/>
    <mergeCell ref="A10:B10"/>
    <mergeCell ref="A12:B12"/>
    <mergeCell ref="A13:B13"/>
    <mergeCell ref="A15:B15"/>
    <mergeCell ref="A16:B16"/>
    <mergeCell ref="A18:B18"/>
    <mergeCell ref="A19:B19"/>
    <mergeCell ref="A21:B21"/>
    <mergeCell ref="A22: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40"/>
    <col collapsed="false" customWidth="true" hidden="false" outlineLevel="0" max="4" min="4" style="0" width="16"/>
    <col collapsed="false" customWidth="true" hidden="false" outlineLevel="0" max="5" min="5" style="0" width="34"/>
  </cols>
  <sheetData>
    <row r="1" customFormat="false" ht="25.5" hidden="false" customHeight="true" outlineLevel="0" collapsed="false">
      <c r="A1" s="1" t="s">
        <v>15</v>
      </c>
      <c r="B1" s="1"/>
      <c r="C1" s="1"/>
      <c r="D1" s="1"/>
      <c r="E1" s="1"/>
    </row>
    <row r="3" customFormat="false" ht="15" hidden="false" customHeight="false" outlineLevel="0" collapsed="false">
      <c r="A3" s="2" t="s">
        <v>16</v>
      </c>
      <c r="B3" s="2"/>
      <c r="C3" s="2"/>
      <c r="D3" s="2"/>
      <c r="E3" s="2"/>
    </row>
    <row r="4" customFormat="false" ht="26.85" hidden="false" customHeight="false" outlineLevel="0" collapsed="false">
      <c r="A4" s="4" t="s">
        <v>17</v>
      </c>
      <c r="B4" s="4" t="s">
        <v>18</v>
      </c>
      <c r="C4" s="4" t="s">
        <v>19</v>
      </c>
      <c r="D4" s="4" t="s">
        <v>20</v>
      </c>
      <c r="E4" s="4" t="s">
        <v>21</v>
      </c>
    </row>
    <row r="5" customFormat="false" ht="24" hidden="false" customHeight="true" outlineLevel="0" collapsed="false">
      <c r="A5" s="5" t="n">
        <v>1</v>
      </c>
      <c r="B5" s="6" t="s">
        <v>22</v>
      </c>
      <c r="C5" s="6" t="s">
        <v>23</v>
      </c>
      <c r="D5" s="7" t="n">
        <v>3</v>
      </c>
      <c r="E5" s="6" t="s">
        <v>24</v>
      </c>
    </row>
    <row r="6" customFormat="false" ht="24" hidden="false" customHeight="true" outlineLevel="0" collapsed="false">
      <c r="A6" s="5" t="n">
        <v>2</v>
      </c>
      <c r="B6" s="6" t="s">
        <v>25</v>
      </c>
      <c r="C6" s="6" t="s">
        <v>26</v>
      </c>
      <c r="D6" s="7" t="n">
        <v>6</v>
      </c>
      <c r="E6" s="6" t="s">
        <v>27</v>
      </c>
    </row>
    <row r="7" customFormat="false" ht="24" hidden="false" customHeight="true" outlineLevel="0" collapsed="false">
      <c r="A7" s="5" t="n">
        <v>3</v>
      </c>
      <c r="B7" s="6" t="s">
        <v>28</v>
      </c>
      <c r="C7" s="6" t="s">
        <v>29</v>
      </c>
      <c r="D7" s="7" t="n">
        <v>5</v>
      </c>
      <c r="E7" s="6" t="s">
        <v>30</v>
      </c>
    </row>
    <row r="8" customFormat="false" ht="24" hidden="false" customHeight="true" outlineLevel="0" collapsed="false">
      <c r="A8" s="5" t="n">
        <v>4</v>
      </c>
      <c r="B8" s="6" t="s">
        <v>31</v>
      </c>
      <c r="C8" s="6" t="s">
        <v>32</v>
      </c>
      <c r="D8" s="7" t="n">
        <v>3</v>
      </c>
      <c r="E8" s="6"/>
    </row>
    <row r="9" customFormat="false" ht="24" hidden="false" customHeight="true" outlineLevel="0" collapsed="false">
      <c r="A9" s="5" t="n">
        <v>5</v>
      </c>
      <c r="B9" s="6" t="s">
        <v>33</v>
      </c>
      <c r="C9" s="6" t="s">
        <v>34</v>
      </c>
      <c r="D9" s="7" t="n">
        <v>8</v>
      </c>
      <c r="E9" s="6" t="s">
        <v>35</v>
      </c>
    </row>
    <row r="10" customFormat="false" ht="24" hidden="false" customHeight="true" outlineLevel="0" collapsed="false">
      <c r="A10" s="5" t="n">
        <v>6</v>
      </c>
      <c r="B10" s="8"/>
      <c r="C10" s="8"/>
      <c r="D10" s="9"/>
      <c r="E10" s="8"/>
    </row>
    <row r="11" customFormat="false" ht="24" hidden="false" customHeight="true" outlineLevel="0" collapsed="false">
      <c r="A11" s="5" t="n">
        <v>7</v>
      </c>
      <c r="B11" s="8"/>
      <c r="C11" s="8"/>
      <c r="D11" s="9"/>
      <c r="E11" s="8"/>
    </row>
    <row r="12" customFormat="false" ht="24" hidden="false" customHeight="true" outlineLevel="0" collapsed="false">
      <c r="A12" s="5" t="n">
        <v>8</v>
      </c>
      <c r="B12" s="8"/>
      <c r="C12" s="8"/>
      <c r="D12" s="9"/>
      <c r="E12" s="8"/>
    </row>
    <row r="13" customFormat="false" ht="24" hidden="false" customHeight="true" outlineLevel="0" collapsed="false">
      <c r="A13" s="5" t="n">
        <v>9</v>
      </c>
      <c r="B13" s="8"/>
      <c r="C13" s="8"/>
      <c r="D13" s="9"/>
      <c r="E13" s="8"/>
    </row>
    <row r="14" customFormat="false" ht="24" hidden="false" customHeight="true" outlineLevel="0" collapsed="false">
      <c r="A14" s="5" t="n">
        <v>10</v>
      </c>
      <c r="B14" s="8"/>
      <c r="C14" s="8"/>
      <c r="D14" s="9"/>
      <c r="E14" s="8"/>
    </row>
    <row r="15" customFormat="false" ht="24" hidden="false" customHeight="true" outlineLevel="0" collapsed="false">
      <c r="A15" s="5" t="n">
        <v>11</v>
      </c>
      <c r="B15" s="8"/>
      <c r="C15" s="8"/>
      <c r="D15" s="9"/>
      <c r="E15" s="8"/>
    </row>
    <row r="16" customFormat="false" ht="24" hidden="false" customHeight="true" outlineLevel="0" collapsed="false">
      <c r="A16" s="5" t="n">
        <v>12</v>
      </c>
      <c r="B16" s="8"/>
      <c r="C16" s="8"/>
      <c r="D16" s="9"/>
      <c r="E16" s="8"/>
    </row>
    <row r="17" customFormat="false" ht="24" hidden="false" customHeight="true" outlineLevel="0" collapsed="false">
      <c r="A17" s="5" t="n">
        <v>13</v>
      </c>
      <c r="B17" s="8"/>
      <c r="C17" s="8"/>
      <c r="D17" s="9"/>
      <c r="E17" s="8"/>
    </row>
    <row r="18" customFormat="false" ht="24" hidden="false" customHeight="true" outlineLevel="0" collapsed="false">
      <c r="A18" s="5" t="n">
        <v>14</v>
      </c>
      <c r="B18" s="8"/>
      <c r="C18" s="8"/>
      <c r="D18" s="9"/>
      <c r="E18" s="8"/>
    </row>
    <row r="19" customFormat="false" ht="24" hidden="false" customHeight="true" outlineLevel="0" collapsed="false">
      <c r="A19" s="5" t="n">
        <v>15</v>
      </c>
      <c r="B19" s="8"/>
      <c r="C19" s="8"/>
      <c r="D19" s="9"/>
      <c r="E19" s="8"/>
    </row>
    <row r="20" customFormat="false" ht="24" hidden="false" customHeight="true" outlineLevel="0" collapsed="false">
      <c r="A20" s="5" t="n">
        <v>16</v>
      </c>
      <c r="B20" s="8"/>
      <c r="C20" s="8"/>
      <c r="D20" s="9"/>
      <c r="E20" s="8"/>
    </row>
    <row r="21" customFormat="false" ht="24" hidden="false" customHeight="true" outlineLevel="0" collapsed="false">
      <c r="A21" s="5" t="n">
        <v>17</v>
      </c>
      <c r="B21" s="8"/>
      <c r="C21" s="8"/>
      <c r="D21" s="9"/>
      <c r="E21" s="8"/>
    </row>
    <row r="22" customFormat="false" ht="24" hidden="false" customHeight="true" outlineLevel="0" collapsed="false">
      <c r="A22" s="5" t="n">
        <v>18</v>
      </c>
      <c r="B22" s="8"/>
      <c r="C22" s="8"/>
      <c r="D22" s="9"/>
      <c r="E22" s="8"/>
    </row>
    <row r="23" customFormat="false" ht="24" hidden="false" customHeight="true" outlineLevel="0" collapsed="false">
      <c r="A23" s="5" t="n">
        <v>19</v>
      </c>
      <c r="B23" s="8"/>
      <c r="C23" s="8"/>
      <c r="D23" s="9"/>
      <c r="E23" s="8"/>
    </row>
    <row r="24" customFormat="false" ht="24" hidden="false" customHeight="true" outlineLevel="0" collapsed="false">
      <c r="A24" s="5" t="n">
        <v>20</v>
      </c>
      <c r="B24" s="8"/>
      <c r="C24" s="8"/>
      <c r="D24" s="9"/>
      <c r="E24" s="8"/>
    </row>
    <row r="26" customFormat="false" ht="15" hidden="false" customHeight="false" outlineLevel="0" collapsed="false">
      <c r="A26" s="2" t="s">
        <v>36</v>
      </c>
      <c r="B26" s="2"/>
    </row>
    <row r="27" customFormat="false" ht="15" hidden="false" customHeight="false" outlineLevel="0" collapsed="false">
      <c r="A27" s="4" t="s">
        <v>37</v>
      </c>
      <c r="B27" s="4" t="s">
        <v>38</v>
      </c>
    </row>
    <row r="28" customFormat="false" ht="19.5" hidden="false" customHeight="true" outlineLevel="0" collapsed="false">
      <c r="A28" s="6" t="s">
        <v>39</v>
      </c>
      <c r="B28" s="6" t="s">
        <v>40</v>
      </c>
    </row>
    <row r="29" customFormat="false" ht="19.5" hidden="false" customHeight="true" outlineLevel="0" collapsed="false">
      <c r="A29" s="6" t="s">
        <v>41</v>
      </c>
      <c r="B29" s="6" t="s">
        <v>42</v>
      </c>
    </row>
    <row r="30" customFormat="false" ht="19.5" hidden="false" customHeight="true" outlineLevel="0" collapsed="false">
      <c r="A30" s="8"/>
      <c r="B30" s="8"/>
    </row>
    <row r="31" customFormat="false" ht="19.5" hidden="false" customHeight="true" outlineLevel="0" collapsed="false">
      <c r="A31" s="8"/>
      <c r="B31" s="8"/>
    </row>
    <row r="32" customFormat="false" ht="19.5" hidden="false" customHeight="true" outlineLevel="0" collapsed="false">
      <c r="A32" s="8"/>
      <c r="B32" s="8"/>
    </row>
    <row r="33" customFormat="false" ht="19.5" hidden="false" customHeight="true" outlineLevel="0" collapsed="false">
      <c r="A33" s="8"/>
      <c r="B33" s="8"/>
    </row>
    <row r="34" customFormat="false" ht="19.5" hidden="false" customHeight="true" outlineLevel="0" collapsed="false">
      <c r="A34" s="8"/>
      <c r="B34" s="8"/>
    </row>
    <row r="35" customFormat="false" ht="19.5" hidden="false" customHeight="true" outlineLevel="0" collapsed="false">
      <c r="A35" s="8"/>
      <c r="B35" s="8"/>
    </row>
    <row r="36" customFormat="false" ht="19.5" hidden="false" customHeight="true" outlineLevel="0" collapsed="false">
      <c r="A36" s="8"/>
      <c r="B36" s="8"/>
    </row>
    <row r="37" customFormat="false" ht="19.5" hidden="false" customHeight="true" outlineLevel="0" collapsed="false">
      <c r="A37" s="8"/>
      <c r="B37" s="8"/>
    </row>
    <row r="39" customFormat="false" ht="15" hidden="false" customHeight="false" outlineLevel="0" collapsed="false">
      <c r="A39" s="2" t="s">
        <v>43</v>
      </c>
      <c r="B39" s="2"/>
      <c r="C39" s="2"/>
      <c r="D39" s="2"/>
      <c r="E39" s="2"/>
    </row>
    <row r="40" customFormat="false" ht="15" hidden="false" customHeight="false" outlineLevel="0" collapsed="false">
      <c r="A40" s="10" t="s">
        <v>44</v>
      </c>
      <c r="B40" s="10"/>
      <c r="C40" s="11" t="n">
        <v>7</v>
      </c>
    </row>
    <row r="42" customFormat="false" ht="15" hidden="false" customHeight="false" outlineLevel="0" collapsed="false">
      <c r="A42" s="12" t="s">
        <v>45</v>
      </c>
    </row>
    <row r="43" customFormat="false" ht="15" hidden="false" customHeight="false" outlineLevel="0" collapsed="false">
      <c r="A43" s="4" t="s">
        <v>46</v>
      </c>
      <c r="B43" s="4" t="s">
        <v>47</v>
      </c>
    </row>
    <row r="44" customFormat="false" ht="15" hidden="false" customHeight="false" outlineLevel="0" collapsed="false">
      <c r="A44" s="13" t="s">
        <v>48</v>
      </c>
      <c r="B44" s="14" t="s">
        <v>49</v>
      </c>
    </row>
    <row r="45" customFormat="false" ht="15" hidden="false" customHeight="false" outlineLevel="0" collapsed="false">
      <c r="A45" s="13" t="s">
        <v>50</v>
      </c>
      <c r="B45" s="14" t="s">
        <v>49</v>
      </c>
    </row>
    <row r="46" customFormat="false" ht="15" hidden="false" customHeight="false" outlineLevel="0" collapsed="false">
      <c r="A46" s="13" t="s">
        <v>51</v>
      </c>
      <c r="B46" s="14" t="s">
        <v>49</v>
      </c>
    </row>
    <row r="47" customFormat="false" ht="15" hidden="false" customHeight="false" outlineLevel="0" collapsed="false">
      <c r="A47" s="13" t="s">
        <v>52</v>
      </c>
      <c r="B47" s="14" t="s">
        <v>49</v>
      </c>
    </row>
    <row r="48" customFormat="false" ht="23.85" hidden="false" customHeight="false" outlineLevel="0" collapsed="false">
      <c r="A48" s="13" t="s">
        <v>53</v>
      </c>
      <c r="B48" s="14" t="s">
        <v>49</v>
      </c>
    </row>
    <row r="49" customFormat="false" ht="15" hidden="false" customHeight="false" outlineLevel="0" collapsed="false">
      <c r="A49" s="13" t="s">
        <v>54</v>
      </c>
      <c r="B49" s="14" t="s">
        <v>55</v>
      </c>
    </row>
    <row r="50" customFormat="false" ht="23.85" hidden="false" customHeight="false" outlineLevel="0" collapsed="false">
      <c r="A50" s="13" t="s">
        <v>56</v>
      </c>
      <c r="B50" s="14" t="s">
        <v>55</v>
      </c>
    </row>
    <row r="52" customFormat="false" ht="15" hidden="false" customHeight="false" outlineLevel="0" collapsed="false">
      <c r="A52" s="12" t="s">
        <v>57</v>
      </c>
    </row>
    <row r="53" customFormat="false" ht="15" hidden="false" customHeight="false" outlineLevel="0" collapsed="false">
      <c r="A53" s="4" t="s">
        <v>17</v>
      </c>
      <c r="B53" s="4" t="s">
        <v>58</v>
      </c>
    </row>
    <row r="54" customFormat="false" ht="15" hidden="false" customHeight="false" outlineLevel="0" collapsed="false">
      <c r="A54" s="15" t="n">
        <v>1</v>
      </c>
      <c r="B54" s="16"/>
    </row>
    <row r="55" customFormat="false" ht="15" hidden="false" customHeight="false" outlineLevel="0" collapsed="false">
      <c r="A55" s="15" t="n">
        <v>2</v>
      </c>
      <c r="B55" s="16"/>
    </row>
    <row r="56" customFormat="false" ht="15" hidden="false" customHeight="false" outlineLevel="0" collapsed="false">
      <c r="A56" s="15" t="n">
        <v>3</v>
      </c>
      <c r="B56" s="16"/>
    </row>
    <row r="57" customFormat="false" ht="15" hidden="false" customHeight="false" outlineLevel="0" collapsed="false">
      <c r="A57" s="15" t="n">
        <v>4</v>
      </c>
      <c r="B57" s="16"/>
    </row>
    <row r="58" customFormat="false" ht="15" hidden="false" customHeight="false" outlineLevel="0" collapsed="false">
      <c r="A58" s="15" t="n">
        <v>5</v>
      </c>
      <c r="B58" s="16"/>
    </row>
    <row r="59" customFormat="false" ht="15" hidden="false" customHeight="false" outlineLevel="0" collapsed="false">
      <c r="A59" s="15" t="n">
        <v>6</v>
      </c>
      <c r="B59" s="16"/>
    </row>
    <row r="60" customFormat="false" ht="15" hidden="false" customHeight="false" outlineLevel="0" collapsed="false">
      <c r="A60" s="15" t="n">
        <v>7</v>
      </c>
      <c r="B60" s="16"/>
    </row>
    <row r="61" customFormat="false" ht="15" hidden="false" customHeight="false" outlineLevel="0" collapsed="false">
      <c r="A61" s="15" t="n">
        <v>8</v>
      </c>
      <c r="B61" s="16"/>
    </row>
    <row r="62" customFormat="false" ht="15" hidden="false" customHeight="false" outlineLevel="0" collapsed="false">
      <c r="A62" s="15" t="n">
        <v>9</v>
      </c>
      <c r="B62" s="16"/>
    </row>
    <row r="63" customFormat="false" ht="15" hidden="false" customHeight="false" outlineLevel="0" collapsed="false">
      <c r="A63" s="15" t="n">
        <v>10</v>
      </c>
      <c r="B63" s="16"/>
    </row>
  </sheetData>
  <mergeCells count="5">
    <mergeCell ref="A1:E1"/>
    <mergeCell ref="A3:E3"/>
    <mergeCell ref="A26:B26"/>
    <mergeCell ref="A39:E39"/>
    <mergeCell ref="A40:B40"/>
  </mergeCells>
  <dataValidations count="2">
    <dataValidation allowBlank="true" errorStyle="stop" operator="between" showDropDown="false" showErrorMessage="false" showInputMessage="false" sqref="B5:B24" type="list">
      <formula1>Listes!$A$2:$A$9</formula1>
      <formula2>0</formula2>
    </dataValidation>
    <dataValidation allowBlank="false" errorStyle="stop" operator="between" showDropDown="false" showErrorMessage="false" showInputMessage="false" sqref="B44:B50" type="list">
      <formula1>Listes!$C$2:$C$3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5"/>
    <col collapsed="false" customWidth="true" hidden="false" outlineLevel="0" max="3" min="3" style="0" width="38"/>
    <col collapsed="false" customWidth="true" hidden="false" outlineLevel="0" max="4" min="4" style="0" width="18"/>
    <col collapsed="false" customWidth="true" hidden="false" outlineLevel="0" max="5" min="5" style="0" width="11"/>
    <col collapsed="false" customWidth="true" hidden="false" outlineLevel="0" max="6" min="6" style="0" width="13"/>
    <col collapsed="false" customWidth="true" hidden="false" outlineLevel="0" max="7" min="7" style="0" width="28"/>
    <col collapsed="false" customWidth="true" hidden="false" outlineLevel="0" max="9" min="8" style="0" width="15"/>
  </cols>
  <sheetData>
    <row r="1" customFormat="false" ht="25.5" hidden="false" customHeight="true" outlineLevel="0" collapsed="false">
      <c r="A1" s="1" t="s">
        <v>59</v>
      </c>
      <c r="B1" s="1"/>
      <c r="C1" s="1"/>
      <c r="D1" s="1"/>
      <c r="E1" s="1"/>
      <c r="F1" s="1"/>
      <c r="G1" s="1"/>
      <c r="H1" s="1"/>
      <c r="I1" s="1"/>
    </row>
    <row r="2" customFormat="false" ht="15" hidden="false" customHeight="true" outlineLevel="0" collapsed="false">
      <c r="A2" s="17" t="s">
        <v>60</v>
      </c>
      <c r="B2" s="17"/>
      <c r="C2" s="17"/>
      <c r="D2" s="18" t="s">
        <v>61</v>
      </c>
      <c r="E2" s="18"/>
      <c r="F2" s="18"/>
    </row>
    <row r="3" customFormat="false" ht="15" hidden="false" customHeight="true" outlineLevel="0" collapsed="false">
      <c r="A3" s="17" t="s">
        <v>62</v>
      </c>
      <c r="B3" s="17"/>
      <c r="C3" s="17"/>
      <c r="D3" s="18" t="s">
        <v>63</v>
      </c>
      <c r="E3" s="18"/>
      <c r="F3" s="18"/>
    </row>
    <row r="4" customFormat="false" ht="15" hidden="false" customHeight="true" outlineLevel="0" collapsed="false">
      <c r="A4" s="17" t="s">
        <v>64</v>
      </c>
      <c r="B4" s="17"/>
      <c r="C4" s="17"/>
      <c r="D4" s="19" t="n">
        <v>46273</v>
      </c>
      <c r="E4" s="19"/>
      <c r="F4" s="19"/>
    </row>
    <row r="6" customFormat="false" ht="6" hidden="false" customHeight="true" outlineLevel="0" collapsed="false"/>
    <row r="7" customFormat="false" ht="30" hidden="false" customHeight="true" outlineLevel="0" collapsed="false">
      <c r="A7" s="4" t="s">
        <v>65</v>
      </c>
      <c r="B7" s="4" t="s">
        <v>66</v>
      </c>
      <c r="C7" s="4" t="s">
        <v>19</v>
      </c>
      <c r="D7" s="4" t="s">
        <v>67</v>
      </c>
      <c r="E7" s="4" t="s">
        <v>68</v>
      </c>
      <c r="F7" s="4" t="s">
        <v>69</v>
      </c>
      <c r="G7" s="4" t="s">
        <v>21</v>
      </c>
      <c r="H7" s="4" t="s">
        <v>70</v>
      </c>
      <c r="I7" s="4" t="s">
        <v>71</v>
      </c>
    </row>
    <row r="8" customFormat="false" ht="21.75" hidden="false" customHeight="true" outlineLevel="0" collapsed="false">
      <c r="A8" s="4" t="s">
        <v>72</v>
      </c>
      <c r="B8" s="20" t="n">
        <v>46279</v>
      </c>
      <c r="C8" s="21"/>
      <c r="D8" s="21"/>
      <c r="E8" s="21"/>
      <c r="F8" s="21"/>
      <c r="G8" s="21"/>
      <c r="H8" s="22" t="n">
        <f aca="false">SUM(E9:E14)</f>
        <v>14</v>
      </c>
      <c r="I8" s="23" t="n">
        <f aca="false">IFERROR(INDEX(Calendrier!$E$7:$E$12,MATCH(A8,Calendrier!$A$7:$A$12,0)),"")</f>
        <v>46280</v>
      </c>
    </row>
    <row r="9" customFormat="false" ht="21.75" hidden="false" customHeight="true" outlineLevel="0" collapsed="false">
      <c r="A9" s="24"/>
      <c r="B9" s="24"/>
      <c r="C9" s="6" t="s">
        <v>23</v>
      </c>
      <c r="D9" s="6" t="s">
        <v>39</v>
      </c>
      <c r="E9" s="25" t="n">
        <f aca="false">IFERROR(INDEX(Configuration!$D$5:$D$24,MATCH(C9,Configuration!$C$5:$C$24,0)),0)</f>
        <v>3</v>
      </c>
      <c r="F9" s="26" t="s">
        <v>73</v>
      </c>
      <c r="G9" s="6" t="s">
        <v>74</v>
      </c>
      <c r="H9" s="13"/>
      <c r="I9" s="13"/>
    </row>
    <row r="10" customFormat="false" ht="21.75" hidden="false" customHeight="true" outlineLevel="0" collapsed="false">
      <c r="A10" s="24"/>
      <c r="B10" s="24"/>
      <c r="C10" s="6" t="s">
        <v>26</v>
      </c>
      <c r="D10" s="6" t="s">
        <v>39</v>
      </c>
      <c r="E10" s="25" t="n">
        <f aca="false">IFERROR(INDEX(Configuration!$D$5:$D$24,MATCH(C10,Configuration!$C$5:$C$24,0)),0)</f>
        <v>6</v>
      </c>
      <c r="F10" s="26" t="s">
        <v>75</v>
      </c>
      <c r="G10" s="6" t="s">
        <v>76</v>
      </c>
      <c r="H10" s="13"/>
      <c r="I10" s="13"/>
    </row>
    <row r="11" customFormat="false" ht="21.75" hidden="false" customHeight="true" outlineLevel="0" collapsed="false">
      <c r="A11" s="24"/>
      <c r="B11" s="24"/>
      <c r="C11" s="6" t="s">
        <v>29</v>
      </c>
      <c r="D11" s="6" t="s">
        <v>41</v>
      </c>
      <c r="E11" s="25" t="n">
        <f aca="false">IFERROR(INDEX(Configuration!$D$5:$D$24,MATCH(C11,Configuration!$C$5:$C$24,0)),0)</f>
        <v>5</v>
      </c>
      <c r="F11" s="26" t="s">
        <v>77</v>
      </c>
      <c r="G11" s="6"/>
      <c r="H11" s="13"/>
      <c r="I11" s="13"/>
    </row>
    <row r="12" customFormat="false" ht="21.75" hidden="false" customHeight="true" outlineLevel="0" collapsed="false">
      <c r="A12" s="24"/>
      <c r="B12" s="24"/>
      <c r="C12" s="8"/>
      <c r="D12" s="8"/>
      <c r="E12" s="25" t="n">
        <f aca="false">IFERROR(INDEX(Configuration!$D$5:$D$24,MATCH(C12,Configuration!$C$5:$C$24,0)),0)</f>
        <v>0</v>
      </c>
      <c r="F12" s="27"/>
      <c r="G12" s="8"/>
      <c r="H12" s="13"/>
      <c r="I12" s="13"/>
    </row>
    <row r="13" customFormat="false" ht="21.75" hidden="false" customHeight="true" outlineLevel="0" collapsed="false">
      <c r="A13" s="24"/>
      <c r="B13" s="24"/>
      <c r="C13" s="8"/>
      <c r="D13" s="8"/>
      <c r="E13" s="25" t="n">
        <f aca="false">IFERROR(INDEX(Configuration!$D$5:$D$24,MATCH(C13,Configuration!$C$5:$C$24,0)),0)</f>
        <v>0</v>
      </c>
      <c r="F13" s="27"/>
      <c r="G13" s="8"/>
      <c r="H13" s="13"/>
      <c r="I13" s="13"/>
    </row>
    <row r="14" customFormat="false" ht="21.75" hidden="false" customHeight="true" outlineLevel="0" collapsed="false">
      <c r="A14" s="24"/>
      <c r="B14" s="24"/>
      <c r="C14" s="8"/>
      <c r="D14" s="8"/>
      <c r="E14" s="25" t="n">
        <f aca="false">IFERROR(INDEX(Configuration!$D$5:$D$24,MATCH(C14,Configuration!$C$5:$C$24,0)),0)</f>
        <v>0</v>
      </c>
      <c r="F14" s="27"/>
      <c r="G14" s="8"/>
      <c r="H14" s="13"/>
      <c r="I14" s="13"/>
    </row>
    <row r="15" customFormat="false" ht="21.75" hidden="false" customHeight="true" outlineLevel="0" collapsed="false">
      <c r="A15" s="28" t="s">
        <v>78</v>
      </c>
      <c r="B15" s="29" t="n">
        <v>46286</v>
      </c>
      <c r="C15" s="30"/>
      <c r="D15" s="30"/>
      <c r="E15" s="30"/>
      <c r="F15" s="30"/>
      <c r="G15" s="30"/>
      <c r="H15" s="31" t="n">
        <f aca="false">SUM(E16:E21)</f>
        <v>14</v>
      </c>
      <c r="I15" s="32" t="n">
        <f aca="false">IFERROR(INDEX(Calendrier!$E$7:$E$12,MATCH(A15,Calendrier!$A$7:$A$12,0)),"")</f>
        <v>46287</v>
      </c>
    </row>
    <row r="16" customFormat="false" ht="21.75" hidden="false" customHeight="true" outlineLevel="0" collapsed="false">
      <c r="A16" s="24"/>
      <c r="B16" s="24"/>
      <c r="C16" s="6" t="s">
        <v>23</v>
      </c>
      <c r="D16" s="6" t="s">
        <v>41</v>
      </c>
      <c r="E16" s="25" t="n">
        <f aca="false">IFERROR(INDEX(Configuration!$D$5:$D$24,MATCH(C16,Configuration!$C$5:$C$24,0)),0)</f>
        <v>3</v>
      </c>
      <c r="F16" s="26" t="s">
        <v>77</v>
      </c>
      <c r="G16" s="6"/>
      <c r="H16" s="13"/>
      <c r="I16" s="13"/>
    </row>
    <row r="17" customFormat="false" ht="21.75" hidden="false" customHeight="true" outlineLevel="0" collapsed="false">
      <c r="A17" s="24"/>
      <c r="B17" s="24"/>
      <c r="C17" s="6" t="s">
        <v>26</v>
      </c>
      <c r="D17" s="6" t="s">
        <v>41</v>
      </c>
      <c r="E17" s="25" t="n">
        <f aca="false">IFERROR(INDEX(Configuration!$D$5:$D$24,MATCH(C17,Configuration!$C$5:$C$24,0)),0)</f>
        <v>6</v>
      </c>
      <c r="F17" s="26" t="s">
        <v>77</v>
      </c>
      <c r="G17" s="6"/>
      <c r="H17" s="13"/>
      <c r="I17" s="13"/>
    </row>
    <row r="18" customFormat="false" ht="21.75" hidden="false" customHeight="true" outlineLevel="0" collapsed="false">
      <c r="A18" s="24"/>
      <c r="B18" s="24"/>
      <c r="C18" s="6" t="s">
        <v>29</v>
      </c>
      <c r="D18" s="6" t="s">
        <v>39</v>
      </c>
      <c r="E18" s="25" t="n">
        <f aca="false">IFERROR(INDEX(Configuration!$D$5:$D$24,MATCH(C18,Configuration!$C$5:$C$24,0)),0)</f>
        <v>5</v>
      </c>
      <c r="F18" s="26" t="s">
        <v>77</v>
      </c>
      <c r="G18" s="6"/>
      <c r="H18" s="13"/>
      <c r="I18" s="13"/>
    </row>
    <row r="19" customFormat="false" ht="21.75" hidden="false" customHeight="true" outlineLevel="0" collapsed="false">
      <c r="A19" s="24"/>
      <c r="B19" s="24"/>
      <c r="C19" s="8"/>
      <c r="D19" s="8"/>
      <c r="E19" s="25" t="n">
        <f aca="false">IFERROR(INDEX(Configuration!$D$5:$D$24,MATCH(C19,Configuration!$C$5:$C$24,0)),0)</f>
        <v>0</v>
      </c>
      <c r="F19" s="27"/>
      <c r="G19" s="8"/>
      <c r="H19" s="13"/>
      <c r="I19" s="13"/>
    </row>
    <row r="20" customFormat="false" ht="21.75" hidden="false" customHeight="true" outlineLevel="0" collapsed="false">
      <c r="A20" s="24"/>
      <c r="B20" s="24"/>
      <c r="C20" s="8"/>
      <c r="D20" s="8"/>
      <c r="E20" s="25" t="n">
        <f aca="false">IFERROR(INDEX(Configuration!$D$5:$D$24,MATCH(C20,Configuration!$C$5:$C$24,0)),0)</f>
        <v>0</v>
      </c>
      <c r="F20" s="27"/>
      <c r="G20" s="8"/>
      <c r="H20" s="13"/>
      <c r="I20" s="13"/>
    </row>
    <row r="21" customFormat="false" ht="21.75" hidden="false" customHeight="true" outlineLevel="0" collapsed="false">
      <c r="A21" s="24"/>
      <c r="B21" s="24"/>
      <c r="C21" s="8"/>
      <c r="D21" s="8"/>
      <c r="E21" s="25" t="n">
        <f aca="false">IFERROR(INDEX(Configuration!$D$5:$D$24,MATCH(C21,Configuration!$C$5:$C$24,0)),0)</f>
        <v>0</v>
      </c>
      <c r="F21" s="27"/>
      <c r="G21" s="8"/>
      <c r="H21" s="13"/>
      <c r="I21" s="13"/>
    </row>
    <row r="22" customFormat="false" ht="21.75" hidden="false" customHeight="true" outlineLevel="0" collapsed="false">
      <c r="A22" s="33"/>
      <c r="B22" s="34"/>
      <c r="C22" s="35"/>
      <c r="D22" s="35"/>
      <c r="E22" s="35"/>
      <c r="F22" s="35"/>
      <c r="G22" s="35"/>
      <c r="H22" s="36" t="n">
        <f aca="false">SUM(E23:E28)</f>
        <v>0</v>
      </c>
      <c r="I22" s="37" t="str">
        <f aca="false">IFERROR(INDEX(Calendrier!$E$7:$E$12,MATCH(A22,Calendrier!$A$7:$A$12,0)),"")</f>
        <v/>
      </c>
    </row>
    <row r="23" customFormat="false" ht="21.75" hidden="false" customHeight="true" outlineLevel="0" collapsed="false">
      <c r="A23" s="24"/>
      <c r="B23" s="24"/>
      <c r="C23" s="8"/>
      <c r="D23" s="8"/>
      <c r="E23" s="25" t="n">
        <f aca="false">IFERROR(INDEX(Configuration!$D$5:$D$24,MATCH(C23,Configuration!$C$5:$C$24,0)),0)</f>
        <v>0</v>
      </c>
      <c r="F23" s="27"/>
      <c r="G23" s="8"/>
      <c r="H23" s="13"/>
      <c r="I23" s="13"/>
    </row>
    <row r="24" customFormat="false" ht="21.75" hidden="false" customHeight="true" outlineLevel="0" collapsed="false">
      <c r="A24" s="24"/>
      <c r="B24" s="24"/>
      <c r="C24" s="8"/>
      <c r="D24" s="8"/>
      <c r="E24" s="25" t="n">
        <f aca="false">IFERROR(INDEX(Configuration!$D$5:$D$24,MATCH(C24,Configuration!$C$5:$C$24,0)),0)</f>
        <v>0</v>
      </c>
      <c r="F24" s="27"/>
      <c r="G24" s="8"/>
      <c r="H24" s="13"/>
      <c r="I24" s="13"/>
    </row>
    <row r="25" customFormat="false" ht="21.75" hidden="false" customHeight="true" outlineLevel="0" collapsed="false">
      <c r="A25" s="24"/>
      <c r="B25" s="24"/>
      <c r="C25" s="8"/>
      <c r="D25" s="8"/>
      <c r="E25" s="25" t="n">
        <f aca="false">IFERROR(INDEX(Configuration!$D$5:$D$24,MATCH(C25,Configuration!$C$5:$C$24,0)),0)</f>
        <v>0</v>
      </c>
      <c r="F25" s="27"/>
      <c r="G25" s="8"/>
      <c r="H25" s="13"/>
      <c r="I25" s="13"/>
    </row>
    <row r="26" customFormat="false" ht="21.75" hidden="false" customHeight="true" outlineLevel="0" collapsed="false">
      <c r="A26" s="24"/>
      <c r="B26" s="24"/>
      <c r="C26" s="8"/>
      <c r="D26" s="8"/>
      <c r="E26" s="25" t="n">
        <f aca="false">IFERROR(INDEX(Configuration!$D$5:$D$24,MATCH(C26,Configuration!$C$5:$C$24,0)),0)</f>
        <v>0</v>
      </c>
      <c r="F26" s="27"/>
      <c r="G26" s="8"/>
      <c r="H26" s="13"/>
      <c r="I26" s="13"/>
    </row>
    <row r="27" customFormat="false" ht="21.75" hidden="false" customHeight="true" outlineLevel="0" collapsed="false">
      <c r="A27" s="24"/>
      <c r="B27" s="24"/>
      <c r="C27" s="8"/>
      <c r="D27" s="8"/>
      <c r="E27" s="25" t="n">
        <f aca="false">IFERROR(INDEX(Configuration!$D$5:$D$24,MATCH(C27,Configuration!$C$5:$C$24,0)),0)</f>
        <v>0</v>
      </c>
      <c r="F27" s="27"/>
      <c r="G27" s="8"/>
      <c r="H27" s="13"/>
      <c r="I27" s="13"/>
    </row>
    <row r="28" customFormat="false" ht="21.75" hidden="false" customHeight="true" outlineLevel="0" collapsed="false">
      <c r="A28" s="24"/>
      <c r="B28" s="24"/>
      <c r="C28" s="8"/>
      <c r="D28" s="8"/>
      <c r="E28" s="25" t="n">
        <f aca="false">IFERROR(INDEX(Configuration!$D$5:$D$24,MATCH(C28,Configuration!$C$5:$C$24,0)),0)</f>
        <v>0</v>
      </c>
      <c r="F28" s="27"/>
      <c r="G28" s="8"/>
      <c r="H28" s="13"/>
      <c r="I28" s="13"/>
    </row>
    <row r="29" customFormat="false" ht="21.75" hidden="false" customHeight="true" outlineLevel="0" collapsed="false">
      <c r="A29" s="38"/>
      <c r="B29" s="39"/>
      <c r="C29" s="40"/>
      <c r="D29" s="40"/>
      <c r="E29" s="40"/>
      <c r="F29" s="40"/>
      <c r="G29" s="40"/>
      <c r="H29" s="41" t="n">
        <f aca="false">SUM(E30:E35)</f>
        <v>0</v>
      </c>
      <c r="I29" s="42" t="str">
        <f aca="false">IFERROR(INDEX(Calendrier!$E$7:$E$12,MATCH(A29,Calendrier!$A$7:$A$12,0)),"")</f>
        <v/>
      </c>
    </row>
    <row r="30" customFormat="false" ht="21.75" hidden="false" customHeight="true" outlineLevel="0" collapsed="false">
      <c r="A30" s="24"/>
      <c r="B30" s="24"/>
      <c r="C30" s="8"/>
      <c r="D30" s="8"/>
      <c r="E30" s="25" t="n">
        <f aca="false">IFERROR(INDEX(Configuration!$D$5:$D$24,MATCH(C30,Configuration!$C$5:$C$24,0)),0)</f>
        <v>0</v>
      </c>
      <c r="F30" s="27"/>
      <c r="G30" s="8"/>
      <c r="H30" s="13"/>
      <c r="I30" s="13"/>
    </row>
    <row r="31" customFormat="false" ht="21.75" hidden="false" customHeight="true" outlineLevel="0" collapsed="false">
      <c r="A31" s="24"/>
      <c r="B31" s="24"/>
      <c r="C31" s="8"/>
      <c r="D31" s="8"/>
      <c r="E31" s="25" t="n">
        <f aca="false">IFERROR(INDEX(Configuration!$D$5:$D$24,MATCH(C31,Configuration!$C$5:$C$24,0)),0)</f>
        <v>0</v>
      </c>
      <c r="F31" s="27"/>
      <c r="G31" s="8"/>
      <c r="H31" s="13"/>
      <c r="I31" s="13"/>
    </row>
    <row r="32" customFormat="false" ht="21.75" hidden="false" customHeight="true" outlineLevel="0" collapsed="false">
      <c r="A32" s="24"/>
      <c r="B32" s="24"/>
      <c r="C32" s="8"/>
      <c r="D32" s="8"/>
      <c r="E32" s="25" t="n">
        <f aca="false">IFERROR(INDEX(Configuration!$D$5:$D$24,MATCH(C32,Configuration!$C$5:$C$24,0)),0)</f>
        <v>0</v>
      </c>
      <c r="F32" s="27"/>
      <c r="G32" s="8"/>
      <c r="H32" s="13"/>
      <c r="I32" s="13"/>
    </row>
    <row r="33" customFormat="false" ht="21.75" hidden="false" customHeight="true" outlineLevel="0" collapsed="false">
      <c r="A33" s="24"/>
      <c r="B33" s="24"/>
      <c r="C33" s="8"/>
      <c r="D33" s="8"/>
      <c r="E33" s="25" t="n">
        <f aca="false">IFERROR(INDEX(Configuration!$D$5:$D$24,MATCH(C33,Configuration!$C$5:$C$24,0)),0)</f>
        <v>0</v>
      </c>
      <c r="F33" s="27"/>
      <c r="G33" s="8"/>
      <c r="H33" s="13"/>
      <c r="I33" s="13"/>
    </row>
    <row r="34" customFormat="false" ht="21.75" hidden="false" customHeight="true" outlineLevel="0" collapsed="false">
      <c r="A34" s="24"/>
      <c r="B34" s="24"/>
      <c r="C34" s="8"/>
      <c r="D34" s="8"/>
      <c r="E34" s="25" t="n">
        <f aca="false">IFERROR(INDEX(Configuration!$D$5:$D$24,MATCH(C34,Configuration!$C$5:$C$24,0)),0)</f>
        <v>0</v>
      </c>
      <c r="F34" s="27"/>
      <c r="G34" s="8"/>
      <c r="H34" s="13"/>
      <c r="I34" s="13"/>
    </row>
    <row r="35" customFormat="false" ht="21.75" hidden="false" customHeight="true" outlineLevel="0" collapsed="false">
      <c r="A35" s="24"/>
      <c r="B35" s="24"/>
      <c r="C35" s="8"/>
      <c r="D35" s="8"/>
      <c r="E35" s="25" t="n">
        <f aca="false">IFERROR(INDEX(Configuration!$D$5:$D$24,MATCH(C35,Configuration!$C$5:$C$24,0)),0)</f>
        <v>0</v>
      </c>
      <c r="F35" s="27"/>
      <c r="G35" s="8"/>
      <c r="H35" s="13"/>
      <c r="I35" s="13"/>
    </row>
    <row r="36" customFormat="false" ht="21.75" hidden="false" customHeight="true" outlineLevel="0" collapsed="false">
      <c r="A36" s="43"/>
      <c r="B36" s="44"/>
      <c r="C36" s="45"/>
      <c r="D36" s="45"/>
      <c r="E36" s="45"/>
      <c r="F36" s="45"/>
      <c r="G36" s="45"/>
      <c r="H36" s="46" t="n">
        <f aca="false">SUM(E37:E42)</f>
        <v>0</v>
      </c>
      <c r="I36" s="47" t="str">
        <f aca="false">IFERROR(INDEX(Calendrier!$E$7:$E$12,MATCH(A36,Calendrier!$A$7:$A$12,0)),"")</f>
        <v/>
      </c>
    </row>
    <row r="37" customFormat="false" ht="21.75" hidden="false" customHeight="true" outlineLevel="0" collapsed="false">
      <c r="A37" s="24"/>
      <c r="B37" s="24"/>
      <c r="C37" s="8"/>
      <c r="D37" s="8"/>
      <c r="E37" s="25" t="n">
        <f aca="false">IFERROR(INDEX(Configuration!$D$5:$D$24,MATCH(C37,Configuration!$C$5:$C$24,0)),0)</f>
        <v>0</v>
      </c>
      <c r="F37" s="27"/>
      <c r="G37" s="8"/>
      <c r="H37" s="13"/>
      <c r="I37" s="13"/>
    </row>
    <row r="38" customFormat="false" ht="21.75" hidden="false" customHeight="true" outlineLevel="0" collapsed="false">
      <c r="A38" s="24"/>
      <c r="B38" s="24"/>
      <c r="C38" s="8"/>
      <c r="D38" s="8"/>
      <c r="E38" s="25" t="n">
        <f aca="false">IFERROR(INDEX(Configuration!$D$5:$D$24,MATCH(C38,Configuration!$C$5:$C$24,0)),0)</f>
        <v>0</v>
      </c>
      <c r="F38" s="27"/>
      <c r="G38" s="8"/>
      <c r="H38" s="13"/>
      <c r="I38" s="13"/>
    </row>
    <row r="39" customFormat="false" ht="21.75" hidden="false" customHeight="true" outlineLevel="0" collapsed="false">
      <c r="A39" s="24"/>
      <c r="B39" s="24"/>
      <c r="C39" s="8"/>
      <c r="D39" s="8"/>
      <c r="E39" s="25" t="n">
        <f aca="false">IFERROR(INDEX(Configuration!$D$5:$D$24,MATCH(C39,Configuration!$C$5:$C$24,0)),0)</f>
        <v>0</v>
      </c>
      <c r="F39" s="27"/>
      <c r="G39" s="8"/>
      <c r="H39" s="13"/>
      <c r="I39" s="13"/>
    </row>
    <row r="40" customFormat="false" ht="21.75" hidden="false" customHeight="true" outlineLevel="0" collapsed="false">
      <c r="A40" s="24"/>
      <c r="B40" s="24"/>
      <c r="C40" s="8"/>
      <c r="D40" s="8"/>
      <c r="E40" s="25" t="n">
        <f aca="false">IFERROR(INDEX(Configuration!$D$5:$D$24,MATCH(C40,Configuration!$C$5:$C$24,0)),0)</f>
        <v>0</v>
      </c>
      <c r="F40" s="27"/>
      <c r="G40" s="8"/>
      <c r="H40" s="13"/>
      <c r="I40" s="13"/>
    </row>
    <row r="41" customFormat="false" ht="21.75" hidden="false" customHeight="true" outlineLevel="0" collapsed="false">
      <c r="A41" s="24"/>
      <c r="B41" s="24"/>
      <c r="C41" s="8"/>
      <c r="D41" s="8"/>
      <c r="E41" s="25" t="n">
        <f aca="false">IFERROR(INDEX(Configuration!$D$5:$D$24,MATCH(C41,Configuration!$C$5:$C$24,0)),0)</f>
        <v>0</v>
      </c>
      <c r="F41" s="27"/>
      <c r="G41" s="8"/>
      <c r="H41" s="13"/>
      <c r="I41" s="13"/>
    </row>
    <row r="42" customFormat="false" ht="21.75" hidden="false" customHeight="true" outlineLevel="0" collapsed="false">
      <c r="A42" s="24"/>
      <c r="B42" s="24"/>
      <c r="C42" s="8"/>
      <c r="D42" s="8"/>
      <c r="E42" s="25" t="n">
        <f aca="false">IFERROR(INDEX(Configuration!$D$5:$D$24,MATCH(C42,Configuration!$C$5:$C$24,0)),0)</f>
        <v>0</v>
      </c>
      <c r="F42" s="27"/>
      <c r="G42" s="8"/>
      <c r="H42" s="13"/>
      <c r="I42" s="13"/>
    </row>
    <row r="43" customFormat="false" ht="21.75" hidden="false" customHeight="true" outlineLevel="0" collapsed="false">
      <c r="A43" s="48"/>
      <c r="B43" s="49"/>
      <c r="C43" s="50"/>
      <c r="D43" s="50"/>
      <c r="E43" s="50"/>
      <c r="F43" s="50"/>
      <c r="G43" s="50"/>
      <c r="H43" s="51" t="n">
        <f aca="false">SUM(E44:E49)</f>
        <v>0</v>
      </c>
      <c r="I43" s="52" t="str">
        <f aca="false">IFERROR(INDEX(Calendrier!$E$7:$E$12,MATCH(A43,Calendrier!$A$7:$A$12,0)),"")</f>
        <v/>
      </c>
    </row>
    <row r="44" customFormat="false" ht="21.75" hidden="false" customHeight="true" outlineLevel="0" collapsed="false">
      <c r="A44" s="24"/>
      <c r="B44" s="24"/>
      <c r="C44" s="8"/>
      <c r="D44" s="8"/>
      <c r="E44" s="25" t="n">
        <f aca="false">IFERROR(INDEX(Configuration!$D$5:$D$24,MATCH(C44,Configuration!$C$5:$C$24,0)),0)</f>
        <v>0</v>
      </c>
      <c r="F44" s="27"/>
      <c r="G44" s="8"/>
      <c r="H44" s="13"/>
      <c r="I44" s="13"/>
    </row>
    <row r="45" customFormat="false" ht="21.75" hidden="false" customHeight="true" outlineLevel="0" collapsed="false">
      <c r="A45" s="24"/>
      <c r="B45" s="24"/>
      <c r="C45" s="8"/>
      <c r="D45" s="8"/>
      <c r="E45" s="25" t="n">
        <f aca="false">IFERROR(INDEX(Configuration!$D$5:$D$24,MATCH(C45,Configuration!$C$5:$C$24,0)),0)</f>
        <v>0</v>
      </c>
      <c r="F45" s="27"/>
      <c r="G45" s="8"/>
      <c r="H45" s="13"/>
      <c r="I45" s="13"/>
    </row>
    <row r="46" customFormat="false" ht="21.75" hidden="false" customHeight="true" outlineLevel="0" collapsed="false">
      <c r="A46" s="24"/>
      <c r="B46" s="24"/>
      <c r="C46" s="8"/>
      <c r="D46" s="8"/>
      <c r="E46" s="25" t="n">
        <f aca="false">IFERROR(INDEX(Configuration!$D$5:$D$24,MATCH(C46,Configuration!$C$5:$C$24,0)),0)</f>
        <v>0</v>
      </c>
      <c r="F46" s="27"/>
      <c r="G46" s="8"/>
      <c r="H46" s="13"/>
      <c r="I46" s="13"/>
    </row>
    <row r="47" customFormat="false" ht="21.75" hidden="false" customHeight="true" outlineLevel="0" collapsed="false">
      <c r="A47" s="24"/>
      <c r="B47" s="24"/>
      <c r="C47" s="8"/>
      <c r="D47" s="8"/>
      <c r="E47" s="25" t="n">
        <f aca="false">IFERROR(INDEX(Configuration!$D$5:$D$24,MATCH(C47,Configuration!$C$5:$C$24,0)),0)</f>
        <v>0</v>
      </c>
      <c r="F47" s="27"/>
      <c r="G47" s="8"/>
      <c r="H47" s="13"/>
      <c r="I47" s="13"/>
    </row>
    <row r="48" customFormat="false" ht="21.75" hidden="false" customHeight="true" outlineLevel="0" collapsed="false">
      <c r="A48" s="24"/>
      <c r="B48" s="24"/>
      <c r="C48" s="8"/>
      <c r="D48" s="8"/>
      <c r="E48" s="25" t="n">
        <f aca="false">IFERROR(INDEX(Configuration!$D$5:$D$24,MATCH(C48,Configuration!$C$5:$C$24,0)),0)</f>
        <v>0</v>
      </c>
      <c r="F48" s="27"/>
      <c r="G48" s="8"/>
      <c r="H48" s="13"/>
      <c r="I48" s="13"/>
    </row>
    <row r="49" customFormat="false" ht="21.75" hidden="false" customHeight="true" outlineLevel="0" collapsed="false">
      <c r="A49" s="24"/>
      <c r="B49" s="24"/>
      <c r="C49" s="8"/>
      <c r="D49" s="8"/>
      <c r="E49" s="25" t="n">
        <f aca="false">IFERROR(INDEX(Configuration!$D$5:$D$24,MATCH(C49,Configuration!$C$5:$C$24,0)),0)</f>
        <v>0</v>
      </c>
      <c r="F49" s="27"/>
      <c r="G49" s="8"/>
      <c r="H49" s="13"/>
      <c r="I49" s="13"/>
    </row>
    <row r="50" customFormat="false" ht="21.75" hidden="false" customHeight="true" outlineLevel="0" collapsed="false">
      <c r="A50" s="53" t="s">
        <v>79</v>
      </c>
      <c r="B50" s="53"/>
      <c r="C50" s="53"/>
      <c r="D50" s="53"/>
      <c r="E50" s="53"/>
      <c r="F50" s="53"/>
      <c r="G50" s="53"/>
      <c r="H50" s="54" t="n">
        <f aca="false">H8+H15+H22+H29+H36+H43</f>
        <v>28</v>
      </c>
      <c r="I50" s="55" t="n">
        <f aca="false">IFERROR(MAX(I8,I15,I22,I29,I36,I43),"")</f>
        <v>46287</v>
      </c>
    </row>
    <row r="52" customFormat="false" ht="15" hidden="false" customHeight="false" outlineLevel="0" collapsed="false">
      <c r="A52" s="12" t="s">
        <v>80</v>
      </c>
    </row>
    <row r="53" customFormat="false" ht="15" hidden="false" customHeight="false" outlineLevel="0" collapsed="false">
      <c r="A53" s="56" t="s">
        <v>81</v>
      </c>
      <c r="B53" s="56"/>
      <c r="C53" s="56"/>
      <c r="D53" s="56"/>
    </row>
    <row r="54" customFormat="false" ht="15" hidden="false" customHeight="false" outlineLevel="0" collapsed="false">
      <c r="A54" s="57" t="s">
        <v>82</v>
      </c>
      <c r="B54" s="57"/>
      <c r="C54" s="57"/>
      <c r="D54" s="57"/>
      <c r="E54" s="57"/>
      <c r="F54" s="57"/>
    </row>
    <row r="55" customFormat="false" ht="15" hidden="false" customHeight="false" outlineLevel="0" collapsed="false">
      <c r="A55" s="57" t="s">
        <v>83</v>
      </c>
      <c r="B55" s="57"/>
      <c r="C55" s="57"/>
      <c r="D55" s="57"/>
      <c r="E55" s="57"/>
      <c r="F55" s="57"/>
    </row>
    <row r="56" customFormat="false" ht="15" hidden="false" customHeight="false" outlineLevel="0" collapsed="false">
      <c r="A56" s="57" t="s">
        <v>84</v>
      </c>
      <c r="B56" s="57"/>
      <c r="C56" s="57"/>
      <c r="D56" s="57"/>
      <c r="E56" s="57"/>
      <c r="F56" s="57"/>
    </row>
  </sheetData>
  <mergeCells count="12">
    <mergeCell ref="A1:I1"/>
    <mergeCell ref="A2:C2"/>
    <mergeCell ref="D2:F2"/>
    <mergeCell ref="A3:C3"/>
    <mergeCell ref="D3:F3"/>
    <mergeCell ref="A4:C4"/>
    <mergeCell ref="D4:F4"/>
    <mergeCell ref="A50:D50"/>
    <mergeCell ref="A53:D53"/>
    <mergeCell ref="A54:F54"/>
    <mergeCell ref="A55:F55"/>
    <mergeCell ref="A56:F56"/>
  </mergeCells>
  <dataValidations count="3">
    <dataValidation allowBlank="true" errorStyle="stop" operator="between" showDropDown="false" showErrorMessage="false" showInputMessage="false" sqref="C9:C14 C16:C21 C23:C28 C30:C35 C37:C42 C44:C49" type="list">
      <formula1>Configuration!$C$5:$C$24</formula1>
      <formula2>0</formula2>
    </dataValidation>
    <dataValidation allowBlank="true" errorStyle="stop" operator="between" showDropDown="false" showErrorMessage="false" showInputMessage="false" sqref="D9:D14 D16:D21 D23:D28 D30:D35 D37:D42 D44:D49" type="list">
      <formula1>Configuration!$A$28:$A$37</formula1>
      <formula2>0</formula2>
    </dataValidation>
    <dataValidation allowBlank="true" errorStyle="stop" operator="between" showDropDown="false" showErrorMessage="false" showInputMessage="false" sqref="F9:F14 F16:F21 F23:F28 F30:F35 F37:F42 F44:F49" type="list">
      <formula1>Listes!$B$2:$B$4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6" topLeftCell="C17" activePane="bottomRight" state="frozen"/>
      <selection pane="topLeft" activeCell="A1" activeCellId="0" sqref="A1"/>
      <selection pane="topRight" activeCell="C1" activeCellId="0" sqref="C1"/>
      <selection pane="bottomLeft" activeCell="A17" activeCellId="0" sqref="A17"/>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3"/>
    <col collapsed="false" customWidth="true" hidden="false" outlineLevel="0" max="92" min="3" style="0" width="4.2"/>
  </cols>
  <sheetData>
    <row r="1" customFormat="false" ht="25.5" hidden="false" customHeight="true" outlineLevel="0" collapsed="false">
      <c r="A1" s="1" t="s">
        <v>85</v>
      </c>
      <c r="B1" s="1"/>
      <c r="C1" s="1"/>
      <c r="D1" s="1"/>
      <c r="E1" s="1"/>
      <c r="F1" s="1"/>
    </row>
    <row r="3" customFormat="false" ht="15" hidden="false" customHeight="false" outlineLevel="0" collapsed="false">
      <c r="A3" s="57" t="s">
        <v>86</v>
      </c>
      <c r="B3" s="57"/>
      <c r="C3" s="57"/>
      <c r="D3" s="57"/>
      <c r="E3" s="57"/>
      <c r="F3" s="57"/>
    </row>
    <row r="5" customFormat="false" ht="15" hidden="false" customHeight="false" outlineLevel="0" collapsed="false">
      <c r="A5" s="2" t="s">
        <v>87</v>
      </c>
      <c r="B5" s="2"/>
      <c r="C5" s="2"/>
      <c r="D5" s="2"/>
      <c r="E5" s="2"/>
    </row>
    <row r="6" customFormat="false" ht="27.75" hidden="false" customHeight="true" outlineLevel="0" collapsed="false">
      <c r="A6" s="4" t="s">
        <v>88</v>
      </c>
      <c r="B6" s="4" t="s">
        <v>89</v>
      </c>
      <c r="C6" s="4" t="s">
        <v>90</v>
      </c>
      <c r="D6" s="4" t="s">
        <v>91</v>
      </c>
      <c r="E6" s="4" t="s">
        <v>92</v>
      </c>
    </row>
    <row r="7" customFormat="false" ht="19.5" hidden="false" customHeight="true" outlineLevel="0" collapsed="false">
      <c r="A7" s="13" t="str">
        <f aca="false">IF('Planning Chantier'!A8="","",'Planning Chantier'!A8)</f>
        <v>I03</v>
      </c>
      <c r="B7" s="58" t="n">
        <f aca="false">IF('Planning Chantier'!B8="","",'Planning Chantier'!B8)</f>
        <v>46279</v>
      </c>
      <c r="C7" s="25" t="n">
        <f aca="false">'Planning Chantier'!H8</f>
        <v>14</v>
      </c>
      <c r="D7" s="59" t="n">
        <f aca="false">IFERROR(ROUNDUP(C7/Configuration!$C$40,0),"")</f>
        <v>2</v>
      </c>
      <c r="E7" s="58" t="n">
        <f aca="false">IFERROR(LOOKUP(2,1/($C$20:$CN$20&gt;0),$C$17:$CN$17),"")</f>
        <v>46280</v>
      </c>
    </row>
    <row r="8" customFormat="false" ht="19.5" hidden="false" customHeight="true" outlineLevel="0" collapsed="false">
      <c r="A8" s="13" t="str">
        <f aca="false">IF('Planning Chantier'!A15="","",'Planning Chantier'!A15)</f>
        <v>I02</v>
      </c>
      <c r="B8" s="58" t="n">
        <f aca="false">IF('Planning Chantier'!B15="","",'Planning Chantier'!B15)</f>
        <v>46286</v>
      </c>
      <c r="C8" s="25" t="n">
        <f aca="false">'Planning Chantier'!H15</f>
        <v>14</v>
      </c>
      <c r="D8" s="59" t="n">
        <f aca="false">IFERROR(ROUNDUP(C8/Configuration!$C$40,0),"")</f>
        <v>2</v>
      </c>
      <c r="E8" s="58" t="n">
        <f aca="false">IFERROR(LOOKUP(2,1/($C$21:$CN$21&gt;0),$C$17:$CN$17),"")</f>
        <v>46287</v>
      </c>
    </row>
    <row r="9" customFormat="false" ht="19.5" hidden="false" customHeight="true" outlineLevel="0" collapsed="false">
      <c r="A9" s="13" t="str">
        <f aca="false">IF('Planning Chantier'!A22="","",'Planning Chantier'!A22)</f>
        <v/>
      </c>
      <c r="B9" s="58" t="str">
        <f aca="false">IF('Planning Chantier'!B22="","",'Planning Chantier'!B22)</f>
        <v/>
      </c>
      <c r="C9" s="25" t="n">
        <f aca="false">'Planning Chantier'!H22</f>
        <v>0</v>
      </c>
      <c r="D9" s="59" t="n">
        <f aca="false">IFERROR(ROUNDUP(C9/Configuration!$C$40,0),"")</f>
        <v>0</v>
      </c>
      <c r="E9" s="58" t="str">
        <f aca="false">IFERROR(LOOKUP(2,1/($C$22:$CN$22&gt;0),$C$17:$CN$17),"")</f>
        <v/>
      </c>
    </row>
    <row r="10" customFormat="false" ht="19.5" hidden="false" customHeight="true" outlineLevel="0" collapsed="false">
      <c r="A10" s="13" t="str">
        <f aca="false">IF('Planning Chantier'!A29="","",'Planning Chantier'!A29)</f>
        <v/>
      </c>
      <c r="B10" s="58" t="str">
        <f aca="false">IF('Planning Chantier'!B29="","",'Planning Chantier'!B29)</f>
        <v/>
      </c>
      <c r="C10" s="25" t="n">
        <f aca="false">'Planning Chantier'!H29</f>
        <v>0</v>
      </c>
      <c r="D10" s="59" t="n">
        <f aca="false">IFERROR(ROUNDUP(C10/Configuration!$C$40,0),"")</f>
        <v>0</v>
      </c>
      <c r="E10" s="58" t="str">
        <f aca="false">IFERROR(LOOKUP(2,1/($C$23:$CN$23&gt;0),$C$17:$CN$17),"")</f>
        <v/>
      </c>
    </row>
    <row r="11" customFormat="false" ht="19.5" hidden="false" customHeight="true" outlineLevel="0" collapsed="false">
      <c r="A11" s="13" t="str">
        <f aca="false">IF('Planning Chantier'!A36="","",'Planning Chantier'!A36)</f>
        <v/>
      </c>
      <c r="B11" s="58" t="str">
        <f aca="false">IF('Planning Chantier'!B36="","",'Planning Chantier'!B36)</f>
        <v/>
      </c>
      <c r="C11" s="25" t="n">
        <f aca="false">'Planning Chantier'!H36</f>
        <v>0</v>
      </c>
      <c r="D11" s="59" t="n">
        <f aca="false">IFERROR(ROUNDUP(C11/Configuration!$C$40,0),"")</f>
        <v>0</v>
      </c>
      <c r="E11" s="58" t="str">
        <f aca="false">IFERROR(LOOKUP(2,1/($C$24:$CN$24&gt;0),$C$17:$CN$17),"")</f>
        <v/>
      </c>
    </row>
    <row r="12" customFormat="false" ht="19.5" hidden="false" customHeight="true" outlineLevel="0" collapsed="false">
      <c r="A12" s="13" t="str">
        <f aca="false">IF('Planning Chantier'!A43="","",'Planning Chantier'!A43)</f>
        <v/>
      </c>
      <c r="B12" s="58" t="str">
        <f aca="false">IF('Planning Chantier'!B43="","",'Planning Chantier'!B43)</f>
        <v/>
      </c>
      <c r="C12" s="25" t="n">
        <f aca="false">'Planning Chantier'!H43</f>
        <v>0</v>
      </c>
      <c r="D12" s="59" t="n">
        <f aca="false">IFERROR(ROUNDUP(C12/Configuration!$C$40,0),"")</f>
        <v>0</v>
      </c>
      <c r="E12" s="58" t="str">
        <f aca="false">IFERROR(LOOKUP(2,1/($C$25:$CN$25&gt;0),$C$17:$CN$17),"")</f>
        <v/>
      </c>
    </row>
    <row r="14" customFormat="false" ht="15" hidden="false" customHeight="false" outlineLevel="0" collapsed="false">
      <c r="A14" s="2" t="s">
        <v>93</v>
      </c>
      <c r="B14" s="2"/>
      <c r="C14" s="2"/>
      <c r="D14" s="2"/>
      <c r="E14" s="2"/>
      <c r="F14" s="2"/>
    </row>
    <row r="15" customFormat="false" ht="15" hidden="false" customHeight="false" outlineLevel="0" collapsed="false">
      <c r="A15" s="57" t="s">
        <v>94</v>
      </c>
      <c r="B15" s="57"/>
      <c r="C15" s="57"/>
      <c r="D15" s="57"/>
      <c r="E15" s="57"/>
      <c r="F15" s="57"/>
    </row>
    <row r="17" customFormat="false" ht="15.75" hidden="false" customHeight="true" outlineLevel="0" collapsed="false">
      <c r="A17" s="60" t="s">
        <v>58</v>
      </c>
      <c r="B17" s="21"/>
      <c r="C17" s="61" t="n">
        <f aca="false">MIN(B7,B8,B9,B10,B11,B12)</f>
        <v>46279</v>
      </c>
      <c r="D17" s="61" t="n">
        <f aca="false">C17+1</f>
        <v>46280</v>
      </c>
      <c r="E17" s="61" t="n">
        <f aca="false">D17+1</f>
        <v>46281</v>
      </c>
      <c r="F17" s="61" t="n">
        <f aca="false">E17+1</f>
        <v>46282</v>
      </c>
      <c r="G17" s="61" t="n">
        <f aca="false">F17+1</f>
        <v>46283</v>
      </c>
      <c r="H17" s="61" t="n">
        <f aca="false">G17+1</f>
        <v>46284</v>
      </c>
      <c r="I17" s="61" t="n">
        <f aca="false">H17+1</f>
        <v>46285</v>
      </c>
      <c r="J17" s="61" t="n">
        <f aca="false">I17+1</f>
        <v>46286</v>
      </c>
      <c r="K17" s="61" t="n">
        <f aca="false">J17+1</f>
        <v>46287</v>
      </c>
      <c r="L17" s="61" t="n">
        <f aca="false">K17+1</f>
        <v>46288</v>
      </c>
      <c r="M17" s="61" t="n">
        <f aca="false">L17+1</f>
        <v>46289</v>
      </c>
      <c r="N17" s="61" t="n">
        <f aca="false">M17+1</f>
        <v>46290</v>
      </c>
      <c r="O17" s="61" t="n">
        <f aca="false">N17+1</f>
        <v>46291</v>
      </c>
      <c r="P17" s="61" t="n">
        <f aca="false">O17+1</f>
        <v>46292</v>
      </c>
      <c r="Q17" s="61" t="n">
        <f aca="false">P17+1</f>
        <v>46293</v>
      </c>
      <c r="R17" s="61" t="n">
        <f aca="false">Q17+1</f>
        <v>46294</v>
      </c>
      <c r="S17" s="61" t="n">
        <f aca="false">R17+1</f>
        <v>46295</v>
      </c>
      <c r="T17" s="61" t="n">
        <f aca="false">S17+1</f>
        <v>46296</v>
      </c>
      <c r="U17" s="61" t="n">
        <f aca="false">T17+1</f>
        <v>46297</v>
      </c>
      <c r="V17" s="61" t="n">
        <f aca="false">U17+1</f>
        <v>46298</v>
      </c>
      <c r="W17" s="61" t="n">
        <f aca="false">V17+1</f>
        <v>46299</v>
      </c>
      <c r="X17" s="61" t="n">
        <f aca="false">W17+1</f>
        <v>46300</v>
      </c>
      <c r="Y17" s="61" t="n">
        <f aca="false">X17+1</f>
        <v>46301</v>
      </c>
      <c r="Z17" s="61" t="n">
        <f aca="false">Y17+1</f>
        <v>46302</v>
      </c>
      <c r="AA17" s="61" t="n">
        <f aca="false">Z17+1</f>
        <v>46303</v>
      </c>
      <c r="AB17" s="61" t="n">
        <f aca="false">AA17+1</f>
        <v>46304</v>
      </c>
      <c r="AC17" s="61" t="n">
        <f aca="false">AB17+1</f>
        <v>46305</v>
      </c>
      <c r="AD17" s="61" t="n">
        <f aca="false">AC17+1</f>
        <v>46306</v>
      </c>
      <c r="AE17" s="61" t="n">
        <f aca="false">AD17+1</f>
        <v>46307</v>
      </c>
      <c r="AF17" s="61" t="n">
        <f aca="false">AE17+1</f>
        <v>46308</v>
      </c>
      <c r="AG17" s="61" t="n">
        <f aca="false">AF17+1</f>
        <v>46309</v>
      </c>
      <c r="AH17" s="61" t="n">
        <f aca="false">AG17+1</f>
        <v>46310</v>
      </c>
      <c r="AI17" s="61" t="n">
        <f aca="false">AH17+1</f>
        <v>46311</v>
      </c>
      <c r="AJ17" s="61" t="n">
        <f aca="false">AI17+1</f>
        <v>46312</v>
      </c>
      <c r="AK17" s="61" t="n">
        <f aca="false">AJ17+1</f>
        <v>46313</v>
      </c>
      <c r="AL17" s="61" t="n">
        <f aca="false">AK17+1</f>
        <v>46314</v>
      </c>
      <c r="AM17" s="61" t="n">
        <f aca="false">AL17+1</f>
        <v>46315</v>
      </c>
      <c r="AN17" s="61" t="n">
        <f aca="false">AM17+1</f>
        <v>46316</v>
      </c>
      <c r="AO17" s="61" t="n">
        <f aca="false">AN17+1</f>
        <v>46317</v>
      </c>
      <c r="AP17" s="61" t="n">
        <f aca="false">AO17+1</f>
        <v>46318</v>
      </c>
      <c r="AQ17" s="61" t="n">
        <f aca="false">AP17+1</f>
        <v>46319</v>
      </c>
      <c r="AR17" s="61" t="n">
        <f aca="false">AQ17+1</f>
        <v>46320</v>
      </c>
      <c r="AS17" s="61" t="n">
        <f aca="false">AR17+1</f>
        <v>46321</v>
      </c>
      <c r="AT17" s="61" t="n">
        <f aca="false">AS17+1</f>
        <v>46322</v>
      </c>
      <c r="AU17" s="61" t="n">
        <f aca="false">AT17+1</f>
        <v>46323</v>
      </c>
      <c r="AV17" s="61" t="n">
        <f aca="false">AU17+1</f>
        <v>46324</v>
      </c>
      <c r="AW17" s="61" t="n">
        <f aca="false">AV17+1</f>
        <v>46325</v>
      </c>
      <c r="AX17" s="61" t="n">
        <f aca="false">AW17+1</f>
        <v>46326</v>
      </c>
      <c r="AY17" s="61" t="n">
        <f aca="false">AX17+1</f>
        <v>46327</v>
      </c>
      <c r="AZ17" s="61" t="n">
        <f aca="false">AY17+1</f>
        <v>46328</v>
      </c>
      <c r="BA17" s="61" t="n">
        <f aca="false">AZ17+1</f>
        <v>46329</v>
      </c>
      <c r="BB17" s="61" t="n">
        <f aca="false">BA17+1</f>
        <v>46330</v>
      </c>
      <c r="BC17" s="61" t="n">
        <f aca="false">BB17+1</f>
        <v>46331</v>
      </c>
      <c r="BD17" s="61" t="n">
        <f aca="false">BC17+1</f>
        <v>46332</v>
      </c>
      <c r="BE17" s="61" t="n">
        <f aca="false">BD17+1</f>
        <v>46333</v>
      </c>
      <c r="BF17" s="61" t="n">
        <f aca="false">BE17+1</f>
        <v>46334</v>
      </c>
      <c r="BG17" s="61" t="n">
        <f aca="false">BF17+1</f>
        <v>46335</v>
      </c>
      <c r="BH17" s="61" t="n">
        <f aca="false">BG17+1</f>
        <v>46336</v>
      </c>
      <c r="BI17" s="61" t="n">
        <f aca="false">BH17+1</f>
        <v>46337</v>
      </c>
      <c r="BJ17" s="61" t="n">
        <f aca="false">BI17+1</f>
        <v>46338</v>
      </c>
      <c r="BK17" s="61" t="n">
        <f aca="false">BJ17+1</f>
        <v>46339</v>
      </c>
      <c r="BL17" s="61" t="n">
        <f aca="false">BK17+1</f>
        <v>46340</v>
      </c>
      <c r="BM17" s="61" t="n">
        <f aca="false">BL17+1</f>
        <v>46341</v>
      </c>
      <c r="BN17" s="61" t="n">
        <f aca="false">BM17+1</f>
        <v>46342</v>
      </c>
      <c r="BO17" s="61" t="n">
        <f aca="false">BN17+1</f>
        <v>46343</v>
      </c>
      <c r="BP17" s="61" t="n">
        <f aca="false">BO17+1</f>
        <v>46344</v>
      </c>
      <c r="BQ17" s="61" t="n">
        <f aca="false">BP17+1</f>
        <v>46345</v>
      </c>
      <c r="BR17" s="61" t="n">
        <f aca="false">BQ17+1</f>
        <v>46346</v>
      </c>
      <c r="BS17" s="61" t="n">
        <f aca="false">BR17+1</f>
        <v>46347</v>
      </c>
      <c r="BT17" s="61" t="n">
        <f aca="false">BS17+1</f>
        <v>46348</v>
      </c>
      <c r="BU17" s="61" t="n">
        <f aca="false">BT17+1</f>
        <v>46349</v>
      </c>
      <c r="BV17" s="61" t="n">
        <f aca="false">BU17+1</f>
        <v>46350</v>
      </c>
      <c r="BW17" s="61" t="n">
        <f aca="false">BV17+1</f>
        <v>46351</v>
      </c>
      <c r="BX17" s="61" t="n">
        <f aca="false">BW17+1</f>
        <v>46352</v>
      </c>
      <c r="BY17" s="61" t="n">
        <f aca="false">BX17+1</f>
        <v>46353</v>
      </c>
      <c r="BZ17" s="61" t="n">
        <f aca="false">BY17+1</f>
        <v>46354</v>
      </c>
      <c r="CA17" s="61" t="n">
        <f aca="false">BZ17+1</f>
        <v>46355</v>
      </c>
      <c r="CB17" s="61" t="n">
        <f aca="false">CA17+1</f>
        <v>46356</v>
      </c>
      <c r="CC17" s="61" t="n">
        <f aca="false">CB17+1</f>
        <v>46357</v>
      </c>
      <c r="CD17" s="61" t="n">
        <f aca="false">CC17+1</f>
        <v>46358</v>
      </c>
      <c r="CE17" s="61" t="n">
        <f aca="false">CD17+1</f>
        <v>46359</v>
      </c>
      <c r="CF17" s="61" t="n">
        <f aca="false">CE17+1</f>
        <v>46360</v>
      </c>
      <c r="CG17" s="61" t="n">
        <f aca="false">CF17+1</f>
        <v>46361</v>
      </c>
      <c r="CH17" s="61" t="n">
        <f aca="false">CG17+1</f>
        <v>46362</v>
      </c>
      <c r="CI17" s="61" t="n">
        <f aca="false">CH17+1</f>
        <v>46363</v>
      </c>
      <c r="CJ17" s="61" t="n">
        <f aca="false">CI17+1</f>
        <v>46364</v>
      </c>
      <c r="CK17" s="61" t="n">
        <f aca="false">CJ17+1</f>
        <v>46365</v>
      </c>
      <c r="CL17" s="61" t="n">
        <f aca="false">CK17+1</f>
        <v>46366</v>
      </c>
      <c r="CM17" s="61" t="n">
        <f aca="false">CL17+1</f>
        <v>46367</v>
      </c>
      <c r="CN17" s="61" t="n">
        <f aca="false">CM17+1</f>
        <v>46368</v>
      </c>
    </row>
    <row r="18" customFormat="false" ht="13.5" hidden="false" customHeight="true" outlineLevel="0" collapsed="false">
      <c r="A18" s="60" t="s">
        <v>46</v>
      </c>
      <c r="B18" s="21"/>
      <c r="C18" s="62" t="str">
        <f aca="false">TEXT(C17,"ddd")</f>
        <v>Mon</v>
      </c>
      <c r="D18" s="62" t="str">
        <f aca="false">TEXT(D17,"ddd")</f>
        <v>Tue</v>
      </c>
      <c r="E18" s="62" t="str">
        <f aca="false">TEXT(E17,"ddd")</f>
        <v>Wed</v>
      </c>
      <c r="F18" s="62" t="str">
        <f aca="false">TEXT(F17,"ddd")</f>
        <v>Thu</v>
      </c>
      <c r="G18" s="62" t="str">
        <f aca="false">TEXT(G17,"ddd")</f>
        <v>Fri</v>
      </c>
      <c r="H18" s="62" t="str">
        <f aca="false">TEXT(H17,"ddd")</f>
        <v>Sat</v>
      </c>
      <c r="I18" s="62" t="str">
        <f aca="false">TEXT(I17,"ddd")</f>
        <v>Sun</v>
      </c>
      <c r="J18" s="62" t="str">
        <f aca="false">TEXT(J17,"ddd")</f>
        <v>Mon</v>
      </c>
      <c r="K18" s="62" t="str">
        <f aca="false">TEXT(K17,"ddd")</f>
        <v>Tue</v>
      </c>
      <c r="L18" s="62" t="str">
        <f aca="false">TEXT(L17,"ddd")</f>
        <v>Wed</v>
      </c>
      <c r="M18" s="62" t="str">
        <f aca="false">TEXT(M17,"ddd")</f>
        <v>Thu</v>
      </c>
      <c r="N18" s="62" t="str">
        <f aca="false">TEXT(N17,"ddd")</f>
        <v>Fri</v>
      </c>
      <c r="O18" s="62" t="str">
        <f aca="false">TEXT(O17,"ddd")</f>
        <v>Sat</v>
      </c>
      <c r="P18" s="62" t="str">
        <f aca="false">TEXT(P17,"ddd")</f>
        <v>Sun</v>
      </c>
      <c r="Q18" s="62" t="str">
        <f aca="false">TEXT(Q17,"ddd")</f>
        <v>Mon</v>
      </c>
      <c r="R18" s="62" t="str">
        <f aca="false">TEXT(R17,"ddd")</f>
        <v>Tue</v>
      </c>
      <c r="S18" s="62" t="str">
        <f aca="false">TEXT(S17,"ddd")</f>
        <v>Wed</v>
      </c>
      <c r="T18" s="62" t="str">
        <f aca="false">TEXT(T17,"ddd")</f>
        <v>Thu</v>
      </c>
      <c r="U18" s="62" t="str">
        <f aca="false">TEXT(U17,"ddd")</f>
        <v>Fri</v>
      </c>
      <c r="V18" s="62" t="str">
        <f aca="false">TEXT(V17,"ddd")</f>
        <v>Sat</v>
      </c>
      <c r="W18" s="62" t="str">
        <f aca="false">TEXT(W17,"ddd")</f>
        <v>Sun</v>
      </c>
      <c r="X18" s="62" t="str">
        <f aca="false">TEXT(X17,"ddd")</f>
        <v>Mon</v>
      </c>
      <c r="Y18" s="62" t="str">
        <f aca="false">TEXT(Y17,"ddd")</f>
        <v>Tue</v>
      </c>
      <c r="Z18" s="62" t="str">
        <f aca="false">TEXT(Z17,"ddd")</f>
        <v>Wed</v>
      </c>
      <c r="AA18" s="62" t="str">
        <f aca="false">TEXT(AA17,"ddd")</f>
        <v>Thu</v>
      </c>
      <c r="AB18" s="62" t="str">
        <f aca="false">TEXT(AB17,"ddd")</f>
        <v>Fri</v>
      </c>
      <c r="AC18" s="62" t="str">
        <f aca="false">TEXT(AC17,"ddd")</f>
        <v>Sat</v>
      </c>
      <c r="AD18" s="62" t="str">
        <f aca="false">TEXT(AD17,"ddd")</f>
        <v>Sun</v>
      </c>
      <c r="AE18" s="62" t="str">
        <f aca="false">TEXT(AE17,"ddd")</f>
        <v>Mon</v>
      </c>
      <c r="AF18" s="62" t="str">
        <f aca="false">TEXT(AF17,"ddd")</f>
        <v>Tue</v>
      </c>
      <c r="AG18" s="62" t="str">
        <f aca="false">TEXT(AG17,"ddd")</f>
        <v>Wed</v>
      </c>
      <c r="AH18" s="62" t="str">
        <f aca="false">TEXT(AH17,"ddd")</f>
        <v>Thu</v>
      </c>
      <c r="AI18" s="62" t="str">
        <f aca="false">TEXT(AI17,"ddd")</f>
        <v>Fri</v>
      </c>
      <c r="AJ18" s="62" t="str">
        <f aca="false">TEXT(AJ17,"ddd")</f>
        <v>Sat</v>
      </c>
      <c r="AK18" s="62" t="str">
        <f aca="false">TEXT(AK17,"ddd")</f>
        <v>Sun</v>
      </c>
      <c r="AL18" s="62" t="str">
        <f aca="false">TEXT(AL17,"ddd")</f>
        <v>Mon</v>
      </c>
      <c r="AM18" s="62" t="str">
        <f aca="false">TEXT(AM17,"ddd")</f>
        <v>Tue</v>
      </c>
      <c r="AN18" s="62" t="str">
        <f aca="false">TEXT(AN17,"ddd")</f>
        <v>Wed</v>
      </c>
      <c r="AO18" s="62" t="str">
        <f aca="false">TEXT(AO17,"ddd")</f>
        <v>Thu</v>
      </c>
      <c r="AP18" s="62" t="str">
        <f aca="false">TEXT(AP17,"ddd")</f>
        <v>Fri</v>
      </c>
      <c r="AQ18" s="62" t="str">
        <f aca="false">TEXT(AQ17,"ddd")</f>
        <v>Sat</v>
      </c>
      <c r="AR18" s="62" t="str">
        <f aca="false">TEXT(AR17,"ddd")</f>
        <v>Sun</v>
      </c>
      <c r="AS18" s="62" t="str">
        <f aca="false">TEXT(AS17,"ddd")</f>
        <v>Mon</v>
      </c>
      <c r="AT18" s="62" t="str">
        <f aca="false">TEXT(AT17,"ddd")</f>
        <v>Tue</v>
      </c>
      <c r="AU18" s="62" t="str">
        <f aca="false">TEXT(AU17,"ddd")</f>
        <v>Wed</v>
      </c>
      <c r="AV18" s="62" t="str">
        <f aca="false">TEXT(AV17,"ddd")</f>
        <v>Thu</v>
      </c>
      <c r="AW18" s="62" t="str">
        <f aca="false">TEXT(AW17,"ddd")</f>
        <v>Fri</v>
      </c>
      <c r="AX18" s="62" t="str">
        <f aca="false">TEXT(AX17,"ddd")</f>
        <v>Sat</v>
      </c>
      <c r="AY18" s="62" t="str">
        <f aca="false">TEXT(AY17,"ddd")</f>
        <v>Sun</v>
      </c>
      <c r="AZ18" s="62" t="str">
        <f aca="false">TEXT(AZ17,"ddd")</f>
        <v>Mon</v>
      </c>
      <c r="BA18" s="62" t="str">
        <f aca="false">TEXT(BA17,"ddd")</f>
        <v>Tue</v>
      </c>
      <c r="BB18" s="62" t="str">
        <f aca="false">TEXT(BB17,"ddd")</f>
        <v>Wed</v>
      </c>
      <c r="BC18" s="62" t="str">
        <f aca="false">TEXT(BC17,"ddd")</f>
        <v>Thu</v>
      </c>
      <c r="BD18" s="62" t="str">
        <f aca="false">TEXT(BD17,"ddd")</f>
        <v>Fri</v>
      </c>
      <c r="BE18" s="62" t="str">
        <f aca="false">TEXT(BE17,"ddd")</f>
        <v>Sat</v>
      </c>
      <c r="BF18" s="62" t="str">
        <f aca="false">TEXT(BF17,"ddd")</f>
        <v>Sun</v>
      </c>
      <c r="BG18" s="62" t="str">
        <f aca="false">TEXT(BG17,"ddd")</f>
        <v>Mon</v>
      </c>
      <c r="BH18" s="62" t="str">
        <f aca="false">TEXT(BH17,"ddd")</f>
        <v>Tue</v>
      </c>
      <c r="BI18" s="62" t="str">
        <f aca="false">TEXT(BI17,"ddd")</f>
        <v>Wed</v>
      </c>
      <c r="BJ18" s="62" t="str">
        <f aca="false">TEXT(BJ17,"ddd")</f>
        <v>Thu</v>
      </c>
      <c r="BK18" s="62" t="str">
        <f aca="false">TEXT(BK17,"ddd")</f>
        <v>Fri</v>
      </c>
      <c r="BL18" s="62" t="str">
        <f aca="false">TEXT(BL17,"ddd")</f>
        <v>Sat</v>
      </c>
      <c r="BM18" s="62" t="str">
        <f aca="false">TEXT(BM17,"ddd")</f>
        <v>Sun</v>
      </c>
      <c r="BN18" s="62" t="str">
        <f aca="false">TEXT(BN17,"ddd")</f>
        <v>Mon</v>
      </c>
      <c r="BO18" s="62" t="str">
        <f aca="false">TEXT(BO17,"ddd")</f>
        <v>Tue</v>
      </c>
      <c r="BP18" s="62" t="str">
        <f aca="false">TEXT(BP17,"ddd")</f>
        <v>Wed</v>
      </c>
      <c r="BQ18" s="62" t="str">
        <f aca="false">TEXT(BQ17,"ddd")</f>
        <v>Thu</v>
      </c>
      <c r="BR18" s="62" t="str">
        <f aca="false">TEXT(BR17,"ddd")</f>
        <v>Fri</v>
      </c>
      <c r="BS18" s="62" t="str">
        <f aca="false">TEXT(BS17,"ddd")</f>
        <v>Sat</v>
      </c>
      <c r="BT18" s="62" t="str">
        <f aca="false">TEXT(BT17,"ddd")</f>
        <v>Sun</v>
      </c>
      <c r="BU18" s="62" t="str">
        <f aca="false">TEXT(BU17,"ddd")</f>
        <v>Mon</v>
      </c>
      <c r="BV18" s="62" t="str">
        <f aca="false">TEXT(BV17,"ddd")</f>
        <v>Tue</v>
      </c>
      <c r="BW18" s="62" t="str">
        <f aca="false">TEXT(BW17,"ddd")</f>
        <v>Wed</v>
      </c>
      <c r="BX18" s="62" t="str">
        <f aca="false">TEXT(BX17,"ddd")</f>
        <v>Thu</v>
      </c>
      <c r="BY18" s="62" t="str">
        <f aca="false">TEXT(BY17,"ddd")</f>
        <v>Fri</v>
      </c>
      <c r="BZ18" s="62" t="str">
        <f aca="false">TEXT(BZ17,"ddd")</f>
        <v>Sat</v>
      </c>
      <c r="CA18" s="62" t="str">
        <f aca="false">TEXT(CA17,"ddd")</f>
        <v>Sun</v>
      </c>
      <c r="CB18" s="62" t="str">
        <f aca="false">TEXT(CB17,"ddd")</f>
        <v>Mon</v>
      </c>
      <c r="CC18" s="62" t="str">
        <f aca="false">TEXT(CC17,"ddd")</f>
        <v>Tue</v>
      </c>
      <c r="CD18" s="62" t="str">
        <f aca="false">TEXT(CD17,"ddd")</f>
        <v>Wed</v>
      </c>
      <c r="CE18" s="62" t="str">
        <f aca="false">TEXT(CE17,"ddd")</f>
        <v>Thu</v>
      </c>
      <c r="CF18" s="62" t="str">
        <f aca="false">TEXT(CF17,"ddd")</f>
        <v>Fri</v>
      </c>
      <c r="CG18" s="62" t="str">
        <f aca="false">TEXT(CG17,"ddd")</f>
        <v>Sat</v>
      </c>
      <c r="CH18" s="62" t="str">
        <f aca="false">TEXT(CH17,"ddd")</f>
        <v>Sun</v>
      </c>
      <c r="CI18" s="62" t="str">
        <f aca="false">TEXT(CI17,"ddd")</f>
        <v>Mon</v>
      </c>
      <c r="CJ18" s="62" t="str">
        <f aca="false">TEXT(CJ17,"ddd")</f>
        <v>Tue</v>
      </c>
      <c r="CK18" s="62" t="str">
        <f aca="false">TEXT(CK17,"ddd")</f>
        <v>Wed</v>
      </c>
      <c r="CL18" s="62" t="str">
        <f aca="false">TEXT(CL17,"ddd")</f>
        <v>Thu</v>
      </c>
      <c r="CM18" s="62" t="str">
        <f aca="false">TEXT(CM17,"ddd")</f>
        <v>Fri</v>
      </c>
      <c r="CN18" s="62" t="str">
        <f aca="false">TEXT(CN17,"ddd")</f>
        <v>Sat</v>
      </c>
    </row>
    <row r="19" customFormat="false" ht="13.5" hidden="false" customHeight="true" outlineLevel="0" collapsed="false">
      <c r="A19" s="60" t="s">
        <v>95</v>
      </c>
      <c r="B19" s="21"/>
      <c r="C19" s="63" t="n">
        <f aca="false">IF(AND(INDEX(Configuration!$B$44:$B$50,WEEKDAY(C17,2))="Oui",COUNTIF(Configuration!$B$54:$B$63,C17)=0),Configuration!$C$40,0)</f>
        <v>7</v>
      </c>
      <c r="D19" s="63" t="n">
        <f aca="false">IF(AND(INDEX(Configuration!$B$44:$B$50,WEEKDAY(D17,2))="Oui",COUNTIF(Configuration!$B$54:$B$63,D17)=0),Configuration!$C$40,0)</f>
        <v>7</v>
      </c>
      <c r="E19" s="63" t="n">
        <f aca="false">IF(AND(INDEX(Configuration!$B$44:$B$50,WEEKDAY(E17,2))="Oui",COUNTIF(Configuration!$B$54:$B$63,E17)=0),Configuration!$C$40,0)</f>
        <v>7</v>
      </c>
      <c r="F19" s="63" t="n">
        <f aca="false">IF(AND(INDEX(Configuration!$B$44:$B$50,WEEKDAY(F17,2))="Oui",COUNTIF(Configuration!$B$54:$B$63,F17)=0),Configuration!$C$40,0)</f>
        <v>7</v>
      </c>
      <c r="G19" s="63" t="n">
        <f aca="false">IF(AND(INDEX(Configuration!$B$44:$B$50,WEEKDAY(G17,2))="Oui",COUNTIF(Configuration!$B$54:$B$63,G17)=0),Configuration!$C$40,0)</f>
        <v>7</v>
      </c>
      <c r="H19" s="63" t="n">
        <f aca="false">IF(AND(INDEX(Configuration!$B$44:$B$50,WEEKDAY(H17,2))="Oui",COUNTIF(Configuration!$B$54:$B$63,H17)=0),Configuration!$C$40,0)</f>
        <v>0</v>
      </c>
      <c r="I19" s="63" t="n">
        <f aca="false">IF(AND(INDEX(Configuration!$B$44:$B$50,WEEKDAY(I17,2))="Oui",COUNTIF(Configuration!$B$54:$B$63,I17)=0),Configuration!$C$40,0)</f>
        <v>0</v>
      </c>
      <c r="J19" s="63" t="n">
        <f aca="false">IF(AND(INDEX(Configuration!$B$44:$B$50,WEEKDAY(J17,2))="Oui",COUNTIF(Configuration!$B$54:$B$63,J17)=0),Configuration!$C$40,0)</f>
        <v>7</v>
      </c>
      <c r="K19" s="63" t="n">
        <f aca="false">IF(AND(INDEX(Configuration!$B$44:$B$50,WEEKDAY(K17,2))="Oui",COUNTIF(Configuration!$B$54:$B$63,K17)=0),Configuration!$C$40,0)</f>
        <v>7</v>
      </c>
      <c r="L19" s="63" t="n">
        <f aca="false">IF(AND(INDEX(Configuration!$B$44:$B$50,WEEKDAY(L17,2))="Oui",COUNTIF(Configuration!$B$54:$B$63,L17)=0),Configuration!$C$40,0)</f>
        <v>7</v>
      </c>
      <c r="M19" s="63" t="n">
        <f aca="false">IF(AND(INDEX(Configuration!$B$44:$B$50,WEEKDAY(M17,2))="Oui",COUNTIF(Configuration!$B$54:$B$63,M17)=0),Configuration!$C$40,0)</f>
        <v>7</v>
      </c>
      <c r="N19" s="63" t="n">
        <f aca="false">IF(AND(INDEX(Configuration!$B$44:$B$50,WEEKDAY(N17,2))="Oui",COUNTIF(Configuration!$B$54:$B$63,N17)=0),Configuration!$C$40,0)</f>
        <v>7</v>
      </c>
      <c r="O19" s="63" t="n">
        <f aca="false">IF(AND(INDEX(Configuration!$B$44:$B$50,WEEKDAY(O17,2))="Oui",COUNTIF(Configuration!$B$54:$B$63,O17)=0),Configuration!$C$40,0)</f>
        <v>0</v>
      </c>
      <c r="P19" s="63" t="n">
        <f aca="false">IF(AND(INDEX(Configuration!$B$44:$B$50,WEEKDAY(P17,2))="Oui",COUNTIF(Configuration!$B$54:$B$63,P17)=0),Configuration!$C$40,0)</f>
        <v>0</v>
      </c>
      <c r="Q19" s="63" t="n">
        <f aca="false">IF(AND(INDEX(Configuration!$B$44:$B$50,WEEKDAY(Q17,2))="Oui",COUNTIF(Configuration!$B$54:$B$63,Q17)=0),Configuration!$C$40,0)</f>
        <v>7</v>
      </c>
      <c r="R19" s="63" t="n">
        <f aca="false">IF(AND(INDEX(Configuration!$B$44:$B$50,WEEKDAY(R17,2))="Oui",COUNTIF(Configuration!$B$54:$B$63,R17)=0),Configuration!$C$40,0)</f>
        <v>7</v>
      </c>
      <c r="S19" s="63" t="n">
        <f aca="false">IF(AND(INDEX(Configuration!$B$44:$B$50,WEEKDAY(S17,2))="Oui",COUNTIF(Configuration!$B$54:$B$63,S17)=0),Configuration!$C$40,0)</f>
        <v>7</v>
      </c>
      <c r="T19" s="63" t="n">
        <f aca="false">IF(AND(INDEX(Configuration!$B$44:$B$50,WEEKDAY(T17,2))="Oui",COUNTIF(Configuration!$B$54:$B$63,T17)=0),Configuration!$C$40,0)</f>
        <v>7</v>
      </c>
      <c r="U19" s="63" t="n">
        <f aca="false">IF(AND(INDEX(Configuration!$B$44:$B$50,WEEKDAY(U17,2))="Oui",COUNTIF(Configuration!$B$54:$B$63,U17)=0),Configuration!$C$40,0)</f>
        <v>7</v>
      </c>
      <c r="V19" s="63" t="n">
        <f aca="false">IF(AND(INDEX(Configuration!$B$44:$B$50,WEEKDAY(V17,2))="Oui",COUNTIF(Configuration!$B$54:$B$63,V17)=0),Configuration!$C$40,0)</f>
        <v>0</v>
      </c>
      <c r="W19" s="63" t="n">
        <f aca="false">IF(AND(INDEX(Configuration!$B$44:$B$50,WEEKDAY(W17,2))="Oui",COUNTIF(Configuration!$B$54:$B$63,W17)=0),Configuration!$C$40,0)</f>
        <v>0</v>
      </c>
      <c r="X19" s="63" t="n">
        <f aca="false">IF(AND(INDEX(Configuration!$B$44:$B$50,WEEKDAY(X17,2))="Oui",COUNTIF(Configuration!$B$54:$B$63,X17)=0),Configuration!$C$40,0)</f>
        <v>7</v>
      </c>
      <c r="Y19" s="63" t="n">
        <f aca="false">IF(AND(INDEX(Configuration!$B$44:$B$50,WEEKDAY(Y17,2))="Oui",COUNTIF(Configuration!$B$54:$B$63,Y17)=0),Configuration!$C$40,0)</f>
        <v>7</v>
      </c>
      <c r="Z19" s="63" t="n">
        <f aca="false">IF(AND(INDEX(Configuration!$B$44:$B$50,WEEKDAY(Z17,2))="Oui",COUNTIF(Configuration!$B$54:$B$63,Z17)=0),Configuration!$C$40,0)</f>
        <v>7</v>
      </c>
      <c r="AA19" s="63" t="n">
        <f aca="false">IF(AND(INDEX(Configuration!$B$44:$B$50,WEEKDAY(AA17,2))="Oui",COUNTIF(Configuration!$B$54:$B$63,AA17)=0),Configuration!$C$40,0)</f>
        <v>7</v>
      </c>
      <c r="AB19" s="63" t="n">
        <f aca="false">IF(AND(INDEX(Configuration!$B$44:$B$50,WEEKDAY(AB17,2))="Oui",COUNTIF(Configuration!$B$54:$B$63,AB17)=0),Configuration!$C$40,0)</f>
        <v>7</v>
      </c>
      <c r="AC19" s="63" t="n">
        <f aca="false">IF(AND(INDEX(Configuration!$B$44:$B$50,WEEKDAY(AC17,2))="Oui",COUNTIF(Configuration!$B$54:$B$63,AC17)=0),Configuration!$C$40,0)</f>
        <v>0</v>
      </c>
      <c r="AD19" s="63" t="n">
        <f aca="false">IF(AND(INDEX(Configuration!$B$44:$B$50,WEEKDAY(AD17,2))="Oui",COUNTIF(Configuration!$B$54:$B$63,AD17)=0),Configuration!$C$40,0)</f>
        <v>0</v>
      </c>
      <c r="AE19" s="63" t="n">
        <f aca="false">IF(AND(INDEX(Configuration!$B$44:$B$50,WEEKDAY(AE17,2))="Oui",COUNTIF(Configuration!$B$54:$B$63,AE17)=0),Configuration!$C$40,0)</f>
        <v>7</v>
      </c>
      <c r="AF19" s="63" t="n">
        <f aca="false">IF(AND(INDEX(Configuration!$B$44:$B$50,WEEKDAY(AF17,2))="Oui",COUNTIF(Configuration!$B$54:$B$63,AF17)=0),Configuration!$C$40,0)</f>
        <v>7</v>
      </c>
      <c r="AG19" s="63" t="n">
        <f aca="false">IF(AND(INDEX(Configuration!$B$44:$B$50,WEEKDAY(AG17,2))="Oui",COUNTIF(Configuration!$B$54:$B$63,AG17)=0),Configuration!$C$40,0)</f>
        <v>7</v>
      </c>
      <c r="AH19" s="63" t="n">
        <f aca="false">IF(AND(INDEX(Configuration!$B$44:$B$50,WEEKDAY(AH17,2))="Oui",COUNTIF(Configuration!$B$54:$B$63,AH17)=0),Configuration!$C$40,0)</f>
        <v>7</v>
      </c>
      <c r="AI19" s="63" t="n">
        <f aca="false">IF(AND(INDEX(Configuration!$B$44:$B$50,WEEKDAY(AI17,2))="Oui",COUNTIF(Configuration!$B$54:$B$63,AI17)=0),Configuration!$C$40,0)</f>
        <v>7</v>
      </c>
      <c r="AJ19" s="63" t="n">
        <f aca="false">IF(AND(INDEX(Configuration!$B$44:$B$50,WEEKDAY(AJ17,2))="Oui",COUNTIF(Configuration!$B$54:$B$63,AJ17)=0),Configuration!$C$40,0)</f>
        <v>0</v>
      </c>
      <c r="AK19" s="63" t="n">
        <f aca="false">IF(AND(INDEX(Configuration!$B$44:$B$50,WEEKDAY(AK17,2))="Oui",COUNTIF(Configuration!$B$54:$B$63,AK17)=0),Configuration!$C$40,0)</f>
        <v>0</v>
      </c>
      <c r="AL19" s="63" t="n">
        <f aca="false">IF(AND(INDEX(Configuration!$B$44:$B$50,WEEKDAY(AL17,2))="Oui",COUNTIF(Configuration!$B$54:$B$63,AL17)=0),Configuration!$C$40,0)</f>
        <v>7</v>
      </c>
      <c r="AM19" s="63" t="n">
        <f aca="false">IF(AND(INDEX(Configuration!$B$44:$B$50,WEEKDAY(AM17,2))="Oui",COUNTIF(Configuration!$B$54:$B$63,AM17)=0),Configuration!$C$40,0)</f>
        <v>7</v>
      </c>
      <c r="AN19" s="63" t="n">
        <f aca="false">IF(AND(INDEX(Configuration!$B$44:$B$50,WEEKDAY(AN17,2))="Oui",COUNTIF(Configuration!$B$54:$B$63,AN17)=0),Configuration!$C$40,0)</f>
        <v>7</v>
      </c>
      <c r="AO19" s="63" t="n">
        <f aca="false">IF(AND(INDEX(Configuration!$B$44:$B$50,WEEKDAY(AO17,2))="Oui",COUNTIF(Configuration!$B$54:$B$63,AO17)=0),Configuration!$C$40,0)</f>
        <v>7</v>
      </c>
      <c r="AP19" s="63" t="n">
        <f aca="false">IF(AND(INDEX(Configuration!$B$44:$B$50,WEEKDAY(AP17,2))="Oui",COUNTIF(Configuration!$B$54:$B$63,AP17)=0),Configuration!$C$40,0)</f>
        <v>7</v>
      </c>
      <c r="AQ19" s="63" t="n">
        <f aca="false">IF(AND(INDEX(Configuration!$B$44:$B$50,WEEKDAY(AQ17,2))="Oui",COUNTIF(Configuration!$B$54:$B$63,AQ17)=0),Configuration!$C$40,0)</f>
        <v>0</v>
      </c>
      <c r="AR19" s="63" t="n">
        <f aca="false">IF(AND(INDEX(Configuration!$B$44:$B$50,WEEKDAY(AR17,2))="Oui",COUNTIF(Configuration!$B$54:$B$63,AR17)=0),Configuration!$C$40,0)</f>
        <v>0</v>
      </c>
      <c r="AS19" s="63" t="n">
        <f aca="false">IF(AND(INDEX(Configuration!$B$44:$B$50,WEEKDAY(AS17,2))="Oui",COUNTIF(Configuration!$B$54:$B$63,AS17)=0),Configuration!$C$40,0)</f>
        <v>7</v>
      </c>
      <c r="AT19" s="63" t="n">
        <f aca="false">IF(AND(INDEX(Configuration!$B$44:$B$50,WEEKDAY(AT17,2))="Oui",COUNTIF(Configuration!$B$54:$B$63,AT17)=0),Configuration!$C$40,0)</f>
        <v>7</v>
      </c>
      <c r="AU19" s="63" t="n">
        <f aca="false">IF(AND(INDEX(Configuration!$B$44:$B$50,WEEKDAY(AU17,2))="Oui",COUNTIF(Configuration!$B$54:$B$63,AU17)=0),Configuration!$C$40,0)</f>
        <v>7</v>
      </c>
      <c r="AV19" s="63" t="n">
        <f aca="false">IF(AND(INDEX(Configuration!$B$44:$B$50,WEEKDAY(AV17,2))="Oui",COUNTIF(Configuration!$B$54:$B$63,AV17)=0),Configuration!$C$40,0)</f>
        <v>7</v>
      </c>
      <c r="AW19" s="63" t="n">
        <f aca="false">IF(AND(INDEX(Configuration!$B$44:$B$50,WEEKDAY(AW17,2))="Oui",COUNTIF(Configuration!$B$54:$B$63,AW17)=0),Configuration!$C$40,0)</f>
        <v>7</v>
      </c>
      <c r="AX19" s="63" t="n">
        <f aca="false">IF(AND(INDEX(Configuration!$B$44:$B$50,WEEKDAY(AX17,2))="Oui",COUNTIF(Configuration!$B$54:$B$63,AX17)=0),Configuration!$C$40,0)</f>
        <v>0</v>
      </c>
      <c r="AY19" s="63" t="n">
        <f aca="false">IF(AND(INDEX(Configuration!$B$44:$B$50,WEEKDAY(AY17,2))="Oui",COUNTIF(Configuration!$B$54:$B$63,AY17)=0),Configuration!$C$40,0)</f>
        <v>0</v>
      </c>
      <c r="AZ19" s="63" t="n">
        <f aca="false">IF(AND(INDEX(Configuration!$B$44:$B$50,WEEKDAY(AZ17,2))="Oui",COUNTIF(Configuration!$B$54:$B$63,AZ17)=0),Configuration!$C$40,0)</f>
        <v>7</v>
      </c>
      <c r="BA19" s="63" t="n">
        <f aca="false">IF(AND(INDEX(Configuration!$B$44:$B$50,WEEKDAY(BA17,2))="Oui",COUNTIF(Configuration!$B$54:$B$63,BA17)=0),Configuration!$C$40,0)</f>
        <v>7</v>
      </c>
      <c r="BB19" s="63" t="n">
        <f aca="false">IF(AND(INDEX(Configuration!$B$44:$B$50,WEEKDAY(BB17,2))="Oui",COUNTIF(Configuration!$B$54:$B$63,BB17)=0),Configuration!$C$40,0)</f>
        <v>7</v>
      </c>
      <c r="BC19" s="63" t="n">
        <f aca="false">IF(AND(INDEX(Configuration!$B$44:$B$50,WEEKDAY(BC17,2))="Oui",COUNTIF(Configuration!$B$54:$B$63,BC17)=0),Configuration!$C$40,0)</f>
        <v>7</v>
      </c>
      <c r="BD19" s="63" t="n">
        <f aca="false">IF(AND(INDEX(Configuration!$B$44:$B$50,WEEKDAY(BD17,2))="Oui",COUNTIF(Configuration!$B$54:$B$63,BD17)=0),Configuration!$C$40,0)</f>
        <v>7</v>
      </c>
      <c r="BE19" s="63" t="n">
        <f aca="false">IF(AND(INDEX(Configuration!$B$44:$B$50,WEEKDAY(BE17,2))="Oui",COUNTIF(Configuration!$B$54:$B$63,BE17)=0),Configuration!$C$40,0)</f>
        <v>0</v>
      </c>
      <c r="BF19" s="63" t="n">
        <f aca="false">IF(AND(INDEX(Configuration!$B$44:$B$50,WEEKDAY(BF17,2))="Oui",COUNTIF(Configuration!$B$54:$B$63,BF17)=0),Configuration!$C$40,0)</f>
        <v>0</v>
      </c>
      <c r="BG19" s="63" t="n">
        <f aca="false">IF(AND(INDEX(Configuration!$B$44:$B$50,WEEKDAY(BG17,2))="Oui",COUNTIF(Configuration!$B$54:$B$63,BG17)=0),Configuration!$C$40,0)</f>
        <v>7</v>
      </c>
      <c r="BH19" s="63" t="n">
        <f aca="false">IF(AND(INDEX(Configuration!$B$44:$B$50,WEEKDAY(BH17,2))="Oui",COUNTIF(Configuration!$B$54:$B$63,BH17)=0),Configuration!$C$40,0)</f>
        <v>7</v>
      </c>
      <c r="BI19" s="63" t="n">
        <f aca="false">IF(AND(INDEX(Configuration!$B$44:$B$50,WEEKDAY(BI17,2))="Oui",COUNTIF(Configuration!$B$54:$B$63,BI17)=0),Configuration!$C$40,0)</f>
        <v>7</v>
      </c>
      <c r="BJ19" s="63" t="n">
        <f aca="false">IF(AND(INDEX(Configuration!$B$44:$B$50,WEEKDAY(BJ17,2))="Oui",COUNTIF(Configuration!$B$54:$B$63,BJ17)=0),Configuration!$C$40,0)</f>
        <v>7</v>
      </c>
      <c r="BK19" s="63" t="n">
        <f aca="false">IF(AND(INDEX(Configuration!$B$44:$B$50,WEEKDAY(BK17,2))="Oui",COUNTIF(Configuration!$B$54:$B$63,BK17)=0),Configuration!$C$40,0)</f>
        <v>7</v>
      </c>
      <c r="BL19" s="63" t="n">
        <f aca="false">IF(AND(INDEX(Configuration!$B$44:$B$50,WEEKDAY(BL17,2))="Oui",COUNTIF(Configuration!$B$54:$B$63,BL17)=0),Configuration!$C$40,0)</f>
        <v>0</v>
      </c>
      <c r="BM19" s="63" t="n">
        <f aca="false">IF(AND(INDEX(Configuration!$B$44:$B$50,WEEKDAY(BM17,2))="Oui",COUNTIF(Configuration!$B$54:$B$63,BM17)=0),Configuration!$C$40,0)</f>
        <v>0</v>
      </c>
      <c r="BN19" s="63" t="n">
        <f aca="false">IF(AND(INDEX(Configuration!$B$44:$B$50,WEEKDAY(BN17,2))="Oui",COUNTIF(Configuration!$B$54:$B$63,BN17)=0),Configuration!$C$40,0)</f>
        <v>7</v>
      </c>
      <c r="BO19" s="63" t="n">
        <f aca="false">IF(AND(INDEX(Configuration!$B$44:$B$50,WEEKDAY(BO17,2))="Oui",COUNTIF(Configuration!$B$54:$B$63,BO17)=0),Configuration!$C$40,0)</f>
        <v>7</v>
      </c>
      <c r="BP19" s="63" t="n">
        <f aca="false">IF(AND(INDEX(Configuration!$B$44:$B$50,WEEKDAY(BP17,2))="Oui",COUNTIF(Configuration!$B$54:$B$63,BP17)=0),Configuration!$C$40,0)</f>
        <v>7</v>
      </c>
      <c r="BQ19" s="63" t="n">
        <f aca="false">IF(AND(INDEX(Configuration!$B$44:$B$50,WEEKDAY(BQ17,2))="Oui",COUNTIF(Configuration!$B$54:$B$63,BQ17)=0),Configuration!$C$40,0)</f>
        <v>7</v>
      </c>
      <c r="BR19" s="63" t="n">
        <f aca="false">IF(AND(INDEX(Configuration!$B$44:$B$50,WEEKDAY(BR17,2))="Oui",COUNTIF(Configuration!$B$54:$B$63,BR17)=0),Configuration!$C$40,0)</f>
        <v>7</v>
      </c>
      <c r="BS19" s="63" t="n">
        <f aca="false">IF(AND(INDEX(Configuration!$B$44:$B$50,WEEKDAY(BS17,2))="Oui",COUNTIF(Configuration!$B$54:$B$63,BS17)=0),Configuration!$C$40,0)</f>
        <v>0</v>
      </c>
      <c r="BT19" s="63" t="n">
        <f aca="false">IF(AND(INDEX(Configuration!$B$44:$B$50,WEEKDAY(BT17,2))="Oui",COUNTIF(Configuration!$B$54:$B$63,BT17)=0),Configuration!$C$40,0)</f>
        <v>0</v>
      </c>
      <c r="BU19" s="63" t="n">
        <f aca="false">IF(AND(INDEX(Configuration!$B$44:$B$50,WEEKDAY(BU17,2))="Oui",COUNTIF(Configuration!$B$54:$B$63,BU17)=0),Configuration!$C$40,0)</f>
        <v>7</v>
      </c>
      <c r="BV19" s="63" t="n">
        <f aca="false">IF(AND(INDEX(Configuration!$B$44:$B$50,WEEKDAY(BV17,2))="Oui",COUNTIF(Configuration!$B$54:$B$63,BV17)=0),Configuration!$C$40,0)</f>
        <v>7</v>
      </c>
      <c r="BW19" s="63" t="n">
        <f aca="false">IF(AND(INDEX(Configuration!$B$44:$B$50,WEEKDAY(BW17,2))="Oui",COUNTIF(Configuration!$B$54:$B$63,BW17)=0),Configuration!$C$40,0)</f>
        <v>7</v>
      </c>
      <c r="BX19" s="63" t="n">
        <f aca="false">IF(AND(INDEX(Configuration!$B$44:$B$50,WEEKDAY(BX17,2))="Oui",COUNTIF(Configuration!$B$54:$B$63,BX17)=0),Configuration!$C$40,0)</f>
        <v>7</v>
      </c>
      <c r="BY19" s="63" t="n">
        <f aca="false">IF(AND(INDEX(Configuration!$B$44:$B$50,WEEKDAY(BY17,2))="Oui",COUNTIF(Configuration!$B$54:$B$63,BY17)=0),Configuration!$C$40,0)</f>
        <v>7</v>
      </c>
      <c r="BZ19" s="63" t="n">
        <f aca="false">IF(AND(INDEX(Configuration!$B$44:$B$50,WEEKDAY(BZ17,2))="Oui",COUNTIF(Configuration!$B$54:$B$63,BZ17)=0),Configuration!$C$40,0)</f>
        <v>0</v>
      </c>
      <c r="CA19" s="63" t="n">
        <f aca="false">IF(AND(INDEX(Configuration!$B$44:$B$50,WEEKDAY(CA17,2))="Oui",COUNTIF(Configuration!$B$54:$B$63,CA17)=0),Configuration!$C$40,0)</f>
        <v>0</v>
      </c>
      <c r="CB19" s="63" t="n">
        <f aca="false">IF(AND(INDEX(Configuration!$B$44:$B$50,WEEKDAY(CB17,2))="Oui",COUNTIF(Configuration!$B$54:$B$63,CB17)=0),Configuration!$C$40,0)</f>
        <v>7</v>
      </c>
      <c r="CC19" s="63" t="n">
        <f aca="false">IF(AND(INDEX(Configuration!$B$44:$B$50,WEEKDAY(CC17,2))="Oui",COUNTIF(Configuration!$B$54:$B$63,CC17)=0),Configuration!$C$40,0)</f>
        <v>7</v>
      </c>
      <c r="CD19" s="63" t="n">
        <f aca="false">IF(AND(INDEX(Configuration!$B$44:$B$50,WEEKDAY(CD17,2))="Oui",COUNTIF(Configuration!$B$54:$B$63,CD17)=0),Configuration!$C$40,0)</f>
        <v>7</v>
      </c>
      <c r="CE19" s="63" t="n">
        <f aca="false">IF(AND(INDEX(Configuration!$B$44:$B$50,WEEKDAY(CE17,2))="Oui",COUNTIF(Configuration!$B$54:$B$63,CE17)=0),Configuration!$C$40,0)</f>
        <v>7</v>
      </c>
      <c r="CF19" s="63" t="n">
        <f aca="false">IF(AND(INDEX(Configuration!$B$44:$B$50,WEEKDAY(CF17,2))="Oui",COUNTIF(Configuration!$B$54:$B$63,CF17)=0),Configuration!$C$40,0)</f>
        <v>7</v>
      </c>
      <c r="CG19" s="63" t="n">
        <f aca="false">IF(AND(INDEX(Configuration!$B$44:$B$50,WEEKDAY(CG17,2))="Oui",COUNTIF(Configuration!$B$54:$B$63,CG17)=0),Configuration!$C$40,0)</f>
        <v>0</v>
      </c>
      <c r="CH19" s="63" t="n">
        <f aca="false">IF(AND(INDEX(Configuration!$B$44:$B$50,WEEKDAY(CH17,2))="Oui",COUNTIF(Configuration!$B$54:$B$63,CH17)=0),Configuration!$C$40,0)</f>
        <v>0</v>
      </c>
      <c r="CI19" s="63" t="n">
        <f aca="false">IF(AND(INDEX(Configuration!$B$44:$B$50,WEEKDAY(CI17,2))="Oui",COUNTIF(Configuration!$B$54:$B$63,CI17)=0),Configuration!$C$40,0)</f>
        <v>7</v>
      </c>
      <c r="CJ19" s="63" t="n">
        <f aca="false">IF(AND(INDEX(Configuration!$B$44:$B$50,WEEKDAY(CJ17,2))="Oui",COUNTIF(Configuration!$B$54:$B$63,CJ17)=0),Configuration!$C$40,0)</f>
        <v>7</v>
      </c>
      <c r="CK19" s="63" t="n">
        <f aca="false">IF(AND(INDEX(Configuration!$B$44:$B$50,WEEKDAY(CK17,2))="Oui",COUNTIF(Configuration!$B$54:$B$63,CK17)=0),Configuration!$C$40,0)</f>
        <v>7</v>
      </c>
      <c r="CL19" s="63" t="n">
        <f aca="false">IF(AND(INDEX(Configuration!$B$44:$B$50,WEEKDAY(CL17,2))="Oui",COUNTIF(Configuration!$B$54:$B$63,CL17)=0),Configuration!$C$40,0)</f>
        <v>7</v>
      </c>
      <c r="CM19" s="63" t="n">
        <f aca="false">IF(AND(INDEX(Configuration!$B$44:$B$50,WEEKDAY(CM17,2))="Oui",COUNTIF(Configuration!$B$54:$B$63,CM17)=0),Configuration!$C$40,0)</f>
        <v>7</v>
      </c>
      <c r="CN19" s="63" t="n">
        <f aca="false">IF(AND(INDEX(Configuration!$B$44:$B$50,WEEKDAY(CN17,2))="Oui",COUNTIF(Configuration!$B$54:$B$63,CN17)=0),Configuration!$C$40,0)</f>
        <v>0</v>
      </c>
    </row>
    <row r="20" customFormat="false" ht="15.75" hidden="false" customHeight="true" outlineLevel="0" collapsed="false">
      <c r="A20" s="64" t="str">
        <f aca="false">A7</f>
        <v>I03</v>
      </c>
      <c r="B20" s="62" t="n">
        <v>0</v>
      </c>
      <c r="C20" s="65" t="n">
        <f aca="false">IF($C$7=0,0,IF(C$17&lt;$B$7,0,MAX(0,MIN(C$19,$C$7-SUM($B20:B20)))))</f>
        <v>7</v>
      </c>
      <c r="D20" s="65" t="n">
        <f aca="false">IF($C$7=0,0,IF(D$17&lt;$B$7,0,MAX(0,MIN(D$19,$C$7-SUM($B20:C20)))))</f>
        <v>7</v>
      </c>
      <c r="E20" s="65" t="n">
        <f aca="false">IF($C$7=0,0,IF(E$17&lt;$B$7,0,MAX(0,MIN(E$19,$C$7-SUM($B20:D20)))))</f>
        <v>0</v>
      </c>
      <c r="F20" s="65" t="n">
        <f aca="false">IF($C$7=0,0,IF(F$17&lt;$B$7,0,MAX(0,MIN(F$19,$C$7-SUM($B20:E20)))))</f>
        <v>0</v>
      </c>
      <c r="G20" s="65" t="n">
        <f aca="false">IF($C$7=0,0,IF(G$17&lt;$B$7,0,MAX(0,MIN(G$19,$C$7-SUM($B20:F20)))))</f>
        <v>0</v>
      </c>
      <c r="H20" s="65" t="n">
        <f aca="false">IF($C$7=0,0,IF(H$17&lt;$B$7,0,MAX(0,MIN(H$19,$C$7-SUM($B20:G20)))))</f>
        <v>0</v>
      </c>
      <c r="I20" s="65" t="n">
        <f aca="false">IF($C$7=0,0,IF(I$17&lt;$B$7,0,MAX(0,MIN(I$19,$C$7-SUM($B20:H20)))))</f>
        <v>0</v>
      </c>
      <c r="J20" s="65" t="n">
        <f aca="false">IF($C$7=0,0,IF(J$17&lt;$B$7,0,MAX(0,MIN(J$19,$C$7-SUM($B20:I20)))))</f>
        <v>0</v>
      </c>
      <c r="K20" s="65" t="n">
        <f aca="false">IF($C$7=0,0,IF(K$17&lt;$B$7,0,MAX(0,MIN(K$19,$C$7-SUM($B20:J20)))))</f>
        <v>0</v>
      </c>
      <c r="L20" s="65" t="n">
        <f aca="false">IF($C$7=0,0,IF(L$17&lt;$B$7,0,MAX(0,MIN(L$19,$C$7-SUM($B20:K20)))))</f>
        <v>0</v>
      </c>
      <c r="M20" s="65" t="n">
        <f aca="false">IF($C$7=0,0,IF(M$17&lt;$B$7,0,MAX(0,MIN(M$19,$C$7-SUM($B20:L20)))))</f>
        <v>0</v>
      </c>
      <c r="N20" s="65" t="n">
        <f aca="false">IF($C$7=0,0,IF(N$17&lt;$B$7,0,MAX(0,MIN(N$19,$C$7-SUM($B20:M20)))))</f>
        <v>0</v>
      </c>
      <c r="O20" s="65" t="n">
        <f aca="false">IF($C$7=0,0,IF(O$17&lt;$B$7,0,MAX(0,MIN(O$19,$C$7-SUM($B20:N20)))))</f>
        <v>0</v>
      </c>
      <c r="P20" s="65" t="n">
        <f aca="false">IF($C$7=0,0,IF(P$17&lt;$B$7,0,MAX(0,MIN(P$19,$C$7-SUM($B20:O20)))))</f>
        <v>0</v>
      </c>
      <c r="Q20" s="65" t="n">
        <f aca="false">IF($C$7=0,0,IF(Q$17&lt;$B$7,0,MAX(0,MIN(Q$19,$C$7-SUM($B20:P20)))))</f>
        <v>0</v>
      </c>
      <c r="R20" s="65" t="n">
        <f aca="false">IF($C$7=0,0,IF(R$17&lt;$B$7,0,MAX(0,MIN(R$19,$C$7-SUM($B20:Q20)))))</f>
        <v>0</v>
      </c>
      <c r="S20" s="65" t="n">
        <f aca="false">IF($C$7=0,0,IF(S$17&lt;$B$7,0,MAX(0,MIN(S$19,$C$7-SUM($B20:R20)))))</f>
        <v>0</v>
      </c>
      <c r="T20" s="65" t="n">
        <f aca="false">IF($C$7=0,0,IF(T$17&lt;$B$7,0,MAX(0,MIN(T$19,$C$7-SUM($B20:S20)))))</f>
        <v>0</v>
      </c>
      <c r="U20" s="65" t="n">
        <f aca="false">IF($C$7=0,0,IF(U$17&lt;$B$7,0,MAX(0,MIN(U$19,$C$7-SUM($B20:T20)))))</f>
        <v>0</v>
      </c>
      <c r="V20" s="65" t="n">
        <f aca="false">IF($C$7=0,0,IF(V$17&lt;$B$7,0,MAX(0,MIN(V$19,$C$7-SUM($B20:U20)))))</f>
        <v>0</v>
      </c>
      <c r="W20" s="65" t="n">
        <f aca="false">IF($C$7=0,0,IF(W$17&lt;$B$7,0,MAX(0,MIN(W$19,$C$7-SUM($B20:V20)))))</f>
        <v>0</v>
      </c>
      <c r="X20" s="65" t="n">
        <f aca="false">IF($C$7=0,0,IF(X$17&lt;$B$7,0,MAX(0,MIN(X$19,$C$7-SUM($B20:W20)))))</f>
        <v>0</v>
      </c>
      <c r="Y20" s="65" t="n">
        <f aca="false">IF($C$7=0,0,IF(Y$17&lt;$B$7,0,MAX(0,MIN(Y$19,$C$7-SUM($B20:X20)))))</f>
        <v>0</v>
      </c>
      <c r="Z20" s="65" t="n">
        <f aca="false">IF($C$7=0,0,IF(Z$17&lt;$B$7,0,MAX(0,MIN(Z$19,$C$7-SUM($B20:Y20)))))</f>
        <v>0</v>
      </c>
      <c r="AA20" s="65" t="n">
        <f aca="false">IF($C$7=0,0,IF(AA$17&lt;$B$7,0,MAX(0,MIN(AA$19,$C$7-SUM($B20:Z20)))))</f>
        <v>0</v>
      </c>
      <c r="AB20" s="65" t="n">
        <f aca="false">IF($C$7=0,0,IF(AB$17&lt;$B$7,0,MAX(0,MIN(AB$19,$C$7-SUM($B20:AA20)))))</f>
        <v>0</v>
      </c>
      <c r="AC20" s="65" t="n">
        <f aca="false">IF($C$7=0,0,IF(AC$17&lt;$B$7,0,MAX(0,MIN(AC$19,$C$7-SUM($B20:AB20)))))</f>
        <v>0</v>
      </c>
      <c r="AD20" s="65" t="n">
        <f aca="false">IF($C$7=0,0,IF(AD$17&lt;$B$7,0,MAX(0,MIN(AD$19,$C$7-SUM($B20:AC20)))))</f>
        <v>0</v>
      </c>
      <c r="AE20" s="65" t="n">
        <f aca="false">IF($C$7=0,0,IF(AE$17&lt;$B$7,0,MAX(0,MIN(AE$19,$C$7-SUM($B20:AD20)))))</f>
        <v>0</v>
      </c>
      <c r="AF20" s="65" t="n">
        <f aca="false">IF($C$7=0,0,IF(AF$17&lt;$B$7,0,MAX(0,MIN(AF$19,$C$7-SUM($B20:AE20)))))</f>
        <v>0</v>
      </c>
      <c r="AG20" s="65" t="n">
        <f aca="false">IF($C$7=0,0,IF(AG$17&lt;$B$7,0,MAX(0,MIN(AG$19,$C$7-SUM($B20:AF20)))))</f>
        <v>0</v>
      </c>
      <c r="AH20" s="65" t="n">
        <f aca="false">IF($C$7=0,0,IF(AH$17&lt;$B$7,0,MAX(0,MIN(AH$19,$C$7-SUM($B20:AG20)))))</f>
        <v>0</v>
      </c>
      <c r="AI20" s="65" t="n">
        <f aca="false">IF($C$7=0,0,IF(AI$17&lt;$B$7,0,MAX(0,MIN(AI$19,$C$7-SUM($B20:AH20)))))</f>
        <v>0</v>
      </c>
      <c r="AJ20" s="65" t="n">
        <f aca="false">IF($C$7=0,0,IF(AJ$17&lt;$B$7,0,MAX(0,MIN(AJ$19,$C$7-SUM($B20:AI20)))))</f>
        <v>0</v>
      </c>
      <c r="AK20" s="65" t="n">
        <f aca="false">IF($C$7=0,0,IF(AK$17&lt;$B$7,0,MAX(0,MIN(AK$19,$C$7-SUM($B20:AJ20)))))</f>
        <v>0</v>
      </c>
      <c r="AL20" s="65" t="n">
        <f aca="false">IF($C$7=0,0,IF(AL$17&lt;$B$7,0,MAX(0,MIN(AL$19,$C$7-SUM($B20:AK20)))))</f>
        <v>0</v>
      </c>
      <c r="AM20" s="65" t="n">
        <f aca="false">IF($C$7=0,0,IF(AM$17&lt;$B$7,0,MAX(0,MIN(AM$19,$C$7-SUM($B20:AL20)))))</f>
        <v>0</v>
      </c>
      <c r="AN20" s="65" t="n">
        <f aca="false">IF($C$7=0,0,IF(AN$17&lt;$B$7,0,MAX(0,MIN(AN$19,$C$7-SUM($B20:AM20)))))</f>
        <v>0</v>
      </c>
      <c r="AO20" s="65" t="n">
        <f aca="false">IF($C$7=0,0,IF(AO$17&lt;$B$7,0,MAX(0,MIN(AO$19,$C$7-SUM($B20:AN20)))))</f>
        <v>0</v>
      </c>
      <c r="AP20" s="65" t="n">
        <f aca="false">IF($C$7=0,0,IF(AP$17&lt;$B$7,0,MAX(0,MIN(AP$19,$C$7-SUM($B20:AO20)))))</f>
        <v>0</v>
      </c>
      <c r="AQ20" s="65" t="n">
        <f aca="false">IF($C$7=0,0,IF(AQ$17&lt;$B$7,0,MAX(0,MIN(AQ$19,$C$7-SUM($B20:AP20)))))</f>
        <v>0</v>
      </c>
      <c r="AR20" s="65" t="n">
        <f aca="false">IF($C$7=0,0,IF(AR$17&lt;$B$7,0,MAX(0,MIN(AR$19,$C$7-SUM($B20:AQ20)))))</f>
        <v>0</v>
      </c>
      <c r="AS20" s="65" t="n">
        <f aca="false">IF($C$7=0,0,IF(AS$17&lt;$B$7,0,MAX(0,MIN(AS$19,$C$7-SUM($B20:AR20)))))</f>
        <v>0</v>
      </c>
      <c r="AT20" s="65" t="n">
        <f aca="false">IF($C$7=0,0,IF(AT$17&lt;$B$7,0,MAX(0,MIN(AT$19,$C$7-SUM($B20:AS20)))))</f>
        <v>0</v>
      </c>
      <c r="AU20" s="65" t="n">
        <f aca="false">IF($C$7=0,0,IF(AU$17&lt;$B$7,0,MAX(0,MIN(AU$19,$C$7-SUM($B20:AT20)))))</f>
        <v>0</v>
      </c>
      <c r="AV20" s="65" t="n">
        <f aca="false">IF($C$7=0,0,IF(AV$17&lt;$B$7,0,MAX(0,MIN(AV$19,$C$7-SUM($B20:AU20)))))</f>
        <v>0</v>
      </c>
      <c r="AW20" s="65" t="n">
        <f aca="false">IF($C$7=0,0,IF(AW$17&lt;$B$7,0,MAX(0,MIN(AW$19,$C$7-SUM($B20:AV20)))))</f>
        <v>0</v>
      </c>
      <c r="AX20" s="65" t="n">
        <f aca="false">IF($C$7=0,0,IF(AX$17&lt;$B$7,0,MAX(0,MIN(AX$19,$C$7-SUM($B20:AW20)))))</f>
        <v>0</v>
      </c>
      <c r="AY20" s="65" t="n">
        <f aca="false">IF($C$7=0,0,IF(AY$17&lt;$B$7,0,MAX(0,MIN(AY$19,$C$7-SUM($B20:AX20)))))</f>
        <v>0</v>
      </c>
      <c r="AZ20" s="65" t="n">
        <f aca="false">IF($C$7=0,0,IF(AZ$17&lt;$B$7,0,MAX(0,MIN(AZ$19,$C$7-SUM($B20:AY20)))))</f>
        <v>0</v>
      </c>
      <c r="BA20" s="65" t="n">
        <f aca="false">IF($C$7=0,0,IF(BA$17&lt;$B$7,0,MAX(0,MIN(BA$19,$C$7-SUM($B20:AZ20)))))</f>
        <v>0</v>
      </c>
      <c r="BB20" s="65" t="n">
        <f aca="false">IF($C$7=0,0,IF(BB$17&lt;$B$7,0,MAX(0,MIN(BB$19,$C$7-SUM($B20:BA20)))))</f>
        <v>0</v>
      </c>
      <c r="BC20" s="65" t="n">
        <f aca="false">IF($C$7=0,0,IF(BC$17&lt;$B$7,0,MAX(0,MIN(BC$19,$C$7-SUM($B20:BB20)))))</f>
        <v>0</v>
      </c>
      <c r="BD20" s="65" t="n">
        <f aca="false">IF($C$7=0,0,IF(BD$17&lt;$B$7,0,MAX(0,MIN(BD$19,$C$7-SUM($B20:BC20)))))</f>
        <v>0</v>
      </c>
      <c r="BE20" s="65" t="n">
        <f aca="false">IF($C$7=0,0,IF(BE$17&lt;$B$7,0,MAX(0,MIN(BE$19,$C$7-SUM($B20:BD20)))))</f>
        <v>0</v>
      </c>
      <c r="BF20" s="65" t="n">
        <f aca="false">IF($C$7=0,0,IF(BF$17&lt;$B$7,0,MAX(0,MIN(BF$19,$C$7-SUM($B20:BE20)))))</f>
        <v>0</v>
      </c>
      <c r="BG20" s="65" t="n">
        <f aca="false">IF($C$7=0,0,IF(BG$17&lt;$B$7,0,MAX(0,MIN(BG$19,$C$7-SUM($B20:BF20)))))</f>
        <v>0</v>
      </c>
      <c r="BH20" s="65" t="n">
        <f aca="false">IF($C$7=0,0,IF(BH$17&lt;$B$7,0,MAX(0,MIN(BH$19,$C$7-SUM($B20:BG20)))))</f>
        <v>0</v>
      </c>
      <c r="BI20" s="65" t="n">
        <f aca="false">IF($C$7=0,0,IF(BI$17&lt;$B$7,0,MAX(0,MIN(BI$19,$C$7-SUM($B20:BH20)))))</f>
        <v>0</v>
      </c>
      <c r="BJ20" s="65" t="n">
        <f aca="false">IF($C$7=0,0,IF(BJ$17&lt;$B$7,0,MAX(0,MIN(BJ$19,$C$7-SUM($B20:BI20)))))</f>
        <v>0</v>
      </c>
      <c r="BK20" s="65" t="n">
        <f aca="false">IF($C$7=0,0,IF(BK$17&lt;$B$7,0,MAX(0,MIN(BK$19,$C$7-SUM($B20:BJ20)))))</f>
        <v>0</v>
      </c>
      <c r="BL20" s="65" t="n">
        <f aca="false">IF($C$7=0,0,IF(BL$17&lt;$B$7,0,MAX(0,MIN(BL$19,$C$7-SUM($B20:BK20)))))</f>
        <v>0</v>
      </c>
      <c r="BM20" s="65" t="n">
        <f aca="false">IF($C$7=0,0,IF(BM$17&lt;$B$7,0,MAX(0,MIN(BM$19,$C$7-SUM($B20:BL20)))))</f>
        <v>0</v>
      </c>
      <c r="BN20" s="65" t="n">
        <f aca="false">IF($C$7=0,0,IF(BN$17&lt;$B$7,0,MAX(0,MIN(BN$19,$C$7-SUM($B20:BM20)))))</f>
        <v>0</v>
      </c>
      <c r="BO20" s="65" t="n">
        <f aca="false">IF($C$7=0,0,IF(BO$17&lt;$B$7,0,MAX(0,MIN(BO$19,$C$7-SUM($B20:BN20)))))</f>
        <v>0</v>
      </c>
      <c r="BP20" s="65" t="n">
        <f aca="false">IF($C$7=0,0,IF(BP$17&lt;$B$7,0,MAX(0,MIN(BP$19,$C$7-SUM($B20:BO20)))))</f>
        <v>0</v>
      </c>
      <c r="BQ20" s="65" t="n">
        <f aca="false">IF($C$7=0,0,IF(BQ$17&lt;$B$7,0,MAX(0,MIN(BQ$19,$C$7-SUM($B20:BP20)))))</f>
        <v>0</v>
      </c>
      <c r="BR20" s="65" t="n">
        <f aca="false">IF($C$7=0,0,IF(BR$17&lt;$B$7,0,MAX(0,MIN(BR$19,$C$7-SUM($B20:BQ20)))))</f>
        <v>0</v>
      </c>
      <c r="BS20" s="65" t="n">
        <f aca="false">IF($C$7=0,0,IF(BS$17&lt;$B$7,0,MAX(0,MIN(BS$19,$C$7-SUM($B20:BR20)))))</f>
        <v>0</v>
      </c>
      <c r="BT20" s="65" t="n">
        <f aca="false">IF($C$7=0,0,IF(BT$17&lt;$B$7,0,MAX(0,MIN(BT$19,$C$7-SUM($B20:BS20)))))</f>
        <v>0</v>
      </c>
      <c r="BU20" s="65" t="n">
        <f aca="false">IF($C$7=0,0,IF(BU$17&lt;$B$7,0,MAX(0,MIN(BU$19,$C$7-SUM($B20:BT20)))))</f>
        <v>0</v>
      </c>
      <c r="BV20" s="65" t="n">
        <f aca="false">IF($C$7=0,0,IF(BV$17&lt;$B$7,0,MAX(0,MIN(BV$19,$C$7-SUM($B20:BU20)))))</f>
        <v>0</v>
      </c>
      <c r="BW20" s="65" t="n">
        <f aca="false">IF($C$7=0,0,IF(BW$17&lt;$B$7,0,MAX(0,MIN(BW$19,$C$7-SUM($B20:BV20)))))</f>
        <v>0</v>
      </c>
      <c r="BX20" s="65" t="n">
        <f aca="false">IF($C$7=0,0,IF(BX$17&lt;$B$7,0,MAX(0,MIN(BX$19,$C$7-SUM($B20:BW20)))))</f>
        <v>0</v>
      </c>
      <c r="BY20" s="65" t="n">
        <f aca="false">IF($C$7=0,0,IF(BY$17&lt;$B$7,0,MAX(0,MIN(BY$19,$C$7-SUM($B20:BX20)))))</f>
        <v>0</v>
      </c>
      <c r="BZ20" s="65" t="n">
        <f aca="false">IF($C$7=0,0,IF(BZ$17&lt;$B$7,0,MAX(0,MIN(BZ$19,$C$7-SUM($B20:BY20)))))</f>
        <v>0</v>
      </c>
      <c r="CA20" s="65" t="n">
        <f aca="false">IF($C$7=0,0,IF(CA$17&lt;$B$7,0,MAX(0,MIN(CA$19,$C$7-SUM($B20:BZ20)))))</f>
        <v>0</v>
      </c>
      <c r="CB20" s="65" t="n">
        <f aca="false">IF($C$7=0,0,IF(CB$17&lt;$B$7,0,MAX(0,MIN(CB$19,$C$7-SUM($B20:CA20)))))</f>
        <v>0</v>
      </c>
      <c r="CC20" s="65" t="n">
        <f aca="false">IF($C$7=0,0,IF(CC$17&lt;$B$7,0,MAX(0,MIN(CC$19,$C$7-SUM($B20:CB20)))))</f>
        <v>0</v>
      </c>
      <c r="CD20" s="65" t="n">
        <f aca="false">IF($C$7=0,0,IF(CD$17&lt;$B$7,0,MAX(0,MIN(CD$19,$C$7-SUM($B20:CC20)))))</f>
        <v>0</v>
      </c>
      <c r="CE20" s="65" t="n">
        <f aca="false">IF($C$7=0,0,IF(CE$17&lt;$B$7,0,MAX(0,MIN(CE$19,$C$7-SUM($B20:CD20)))))</f>
        <v>0</v>
      </c>
      <c r="CF20" s="65" t="n">
        <f aca="false">IF($C$7=0,0,IF(CF$17&lt;$B$7,0,MAX(0,MIN(CF$19,$C$7-SUM($B20:CE20)))))</f>
        <v>0</v>
      </c>
      <c r="CG20" s="65" t="n">
        <f aca="false">IF($C$7=0,0,IF(CG$17&lt;$B$7,0,MAX(0,MIN(CG$19,$C$7-SUM($B20:CF20)))))</f>
        <v>0</v>
      </c>
      <c r="CH20" s="65" t="n">
        <f aca="false">IF($C$7=0,0,IF(CH$17&lt;$B$7,0,MAX(0,MIN(CH$19,$C$7-SUM($B20:CG20)))))</f>
        <v>0</v>
      </c>
      <c r="CI20" s="65" t="n">
        <f aca="false">IF($C$7=0,0,IF(CI$17&lt;$B$7,0,MAX(0,MIN(CI$19,$C$7-SUM($B20:CH20)))))</f>
        <v>0</v>
      </c>
      <c r="CJ20" s="65" t="n">
        <f aca="false">IF($C$7=0,0,IF(CJ$17&lt;$B$7,0,MAX(0,MIN(CJ$19,$C$7-SUM($B20:CI20)))))</f>
        <v>0</v>
      </c>
      <c r="CK20" s="65" t="n">
        <f aca="false">IF($C$7=0,0,IF(CK$17&lt;$B$7,0,MAX(0,MIN(CK$19,$C$7-SUM($B20:CJ20)))))</f>
        <v>0</v>
      </c>
      <c r="CL20" s="65" t="n">
        <f aca="false">IF($C$7=0,0,IF(CL$17&lt;$B$7,0,MAX(0,MIN(CL$19,$C$7-SUM($B20:CK20)))))</f>
        <v>0</v>
      </c>
      <c r="CM20" s="65" t="n">
        <f aca="false">IF($C$7=0,0,IF(CM$17&lt;$B$7,0,MAX(0,MIN(CM$19,$C$7-SUM($B20:CL20)))))</f>
        <v>0</v>
      </c>
      <c r="CN20" s="65" t="n">
        <f aca="false">IF($C$7=0,0,IF(CN$17&lt;$B$7,0,MAX(0,MIN(CN$19,$C$7-SUM($B20:CM20)))))</f>
        <v>0</v>
      </c>
    </row>
    <row r="21" customFormat="false" ht="15.75" hidden="false" customHeight="true" outlineLevel="0" collapsed="false">
      <c r="A21" s="64" t="str">
        <f aca="false">A8</f>
        <v>I02</v>
      </c>
      <c r="B21" s="62" t="n">
        <v>0</v>
      </c>
      <c r="C21" s="65" t="n">
        <f aca="false">IF($C$8=0,0,IF(C$17&lt;$B$8,0,MAX(0,MIN(C$19,$C$8-SUM($B21:B21)))))</f>
        <v>0</v>
      </c>
      <c r="D21" s="65" t="n">
        <f aca="false">IF($C$8=0,0,IF(D$17&lt;$B$8,0,MAX(0,MIN(D$19,$C$8-SUM($B21:C21)))))</f>
        <v>0</v>
      </c>
      <c r="E21" s="65" t="n">
        <f aca="false">IF($C$8=0,0,IF(E$17&lt;$B$8,0,MAX(0,MIN(E$19,$C$8-SUM($B21:D21)))))</f>
        <v>0</v>
      </c>
      <c r="F21" s="65" t="n">
        <f aca="false">IF($C$8=0,0,IF(F$17&lt;$B$8,0,MAX(0,MIN(F$19,$C$8-SUM($B21:E21)))))</f>
        <v>0</v>
      </c>
      <c r="G21" s="65" t="n">
        <f aca="false">IF($C$8=0,0,IF(G$17&lt;$B$8,0,MAX(0,MIN(G$19,$C$8-SUM($B21:F21)))))</f>
        <v>0</v>
      </c>
      <c r="H21" s="65" t="n">
        <f aca="false">IF($C$8=0,0,IF(H$17&lt;$B$8,0,MAX(0,MIN(H$19,$C$8-SUM($B21:G21)))))</f>
        <v>0</v>
      </c>
      <c r="I21" s="65" t="n">
        <f aca="false">IF($C$8=0,0,IF(I$17&lt;$B$8,0,MAX(0,MIN(I$19,$C$8-SUM($B21:H21)))))</f>
        <v>0</v>
      </c>
      <c r="J21" s="65" t="n">
        <f aca="false">IF($C$8=0,0,IF(J$17&lt;$B$8,0,MAX(0,MIN(J$19,$C$8-SUM($B21:I21)))))</f>
        <v>7</v>
      </c>
      <c r="K21" s="65" t="n">
        <f aca="false">IF($C$8=0,0,IF(K$17&lt;$B$8,0,MAX(0,MIN(K$19,$C$8-SUM($B21:J21)))))</f>
        <v>7</v>
      </c>
      <c r="L21" s="65" t="n">
        <f aca="false">IF($C$8=0,0,IF(L$17&lt;$B$8,0,MAX(0,MIN(L$19,$C$8-SUM($B21:K21)))))</f>
        <v>0</v>
      </c>
      <c r="M21" s="65" t="n">
        <f aca="false">IF($C$8=0,0,IF(M$17&lt;$B$8,0,MAX(0,MIN(M$19,$C$8-SUM($B21:L21)))))</f>
        <v>0</v>
      </c>
      <c r="N21" s="65" t="n">
        <f aca="false">IF($C$8=0,0,IF(N$17&lt;$B$8,0,MAX(0,MIN(N$19,$C$8-SUM($B21:M21)))))</f>
        <v>0</v>
      </c>
      <c r="O21" s="65" t="n">
        <f aca="false">IF($C$8=0,0,IF(O$17&lt;$B$8,0,MAX(0,MIN(O$19,$C$8-SUM($B21:N21)))))</f>
        <v>0</v>
      </c>
      <c r="P21" s="65" t="n">
        <f aca="false">IF($C$8=0,0,IF(P$17&lt;$B$8,0,MAX(0,MIN(P$19,$C$8-SUM($B21:O21)))))</f>
        <v>0</v>
      </c>
      <c r="Q21" s="65" t="n">
        <f aca="false">IF($C$8=0,0,IF(Q$17&lt;$B$8,0,MAX(0,MIN(Q$19,$C$8-SUM($B21:P21)))))</f>
        <v>0</v>
      </c>
      <c r="R21" s="65" t="n">
        <f aca="false">IF($C$8=0,0,IF(R$17&lt;$B$8,0,MAX(0,MIN(R$19,$C$8-SUM($B21:Q21)))))</f>
        <v>0</v>
      </c>
      <c r="S21" s="65" t="n">
        <f aca="false">IF($C$8=0,0,IF(S$17&lt;$B$8,0,MAX(0,MIN(S$19,$C$8-SUM($B21:R21)))))</f>
        <v>0</v>
      </c>
      <c r="T21" s="65" t="n">
        <f aca="false">IF($C$8=0,0,IF(T$17&lt;$B$8,0,MAX(0,MIN(T$19,$C$8-SUM($B21:S21)))))</f>
        <v>0</v>
      </c>
      <c r="U21" s="65" t="n">
        <f aca="false">IF($C$8=0,0,IF(U$17&lt;$B$8,0,MAX(0,MIN(U$19,$C$8-SUM($B21:T21)))))</f>
        <v>0</v>
      </c>
      <c r="V21" s="65" t="n">
        <f aca="false">IF($C$8=0,0,IF(V$17&lt;$B$8,0,MAX(0,MIN(V$19,$C$8-SUM($B21:U21)))))</f>
        <v>0</v>
      </c>
      <c r="W21" s="65" t="n">
        <f aca="false">IF($C$8=0,0,IF(W$17&lt;$B$8,0,MAX(0,MIN(W$19,$C$8-SUM($B21:V21)))))</f>
        <v>0</v>
      </c>
      <c r="X21" s="65" t="n">
        <f aca="false">IF($C$8=0,0,IF(X$17&lt;$B$8,0,MAX(0,MIN(X$19,$C$8-SUM($B21:W21)))))</f>
        <v>0</v>
      </c>
      <c r="Y21" s="65" t="n">
        <f aca="false">IF($C$8=0,0,IF(Y$17&lt;$B$8,0,MAX(0,MIN(Y$19,$C$8-SUM($B21:X21)))))</f>
        <v>0</v>
      </c>
      <c r="Z21" s="65" t="n">
        <f aca="false">IF($C$8=0,0,IF(Z$17&lt;$B$8,0,MAX(0,MIN(Z$19,$C$8-SUM($B21:Y21)))))</f>
        <v>0</v>
      </c>
      <c r="AA21" s="65" t="n">
        <f aca="false">IF($C$8=0,0,IF(AA$17&lt;$B$8,0,MAX(0,MIN(AA$19,$C$8-SUM($B21:Z21)))))</f>
        <v>0</v>
      </c>
      <c r="AB21" s="65" t="n">
        <f aca="false">IF($C$8=0,0,IF(AB$17&lt;$B$8,0,MAX(0,MIN(AB$19,$C$8-SUM($B21:AA21)))))</f>
        <v>0</v>
      </c>
      <c r="AC21" s="65" t="n">
        <f aca="false">IF($C$8=0,0,IF(AC$17&lt;$B$8,0,MAX(0,MIN(AC$19,$C$8-SUM($B21:AB21)))))</f>
        <v>0</v>
      </c>
      <c r="AD21" s="65" t="n">
        <f aca="false">IF($C$8=0,0,IF(AD$17&lt;$B$8,0,MAX(0,MIN(AD$19,$C$8-SUM($B21:AC21)))))</f>
        <v>0</v>
      </c>
      <c r="AE21" s="65" t="n">
        <f aca="false">IF($C$8=0,0,IF(AE$17&lt;$B$8,0,MAX(0,MIN(AE$19,$C$8-SUM($B21:AD21)))))</f>
        <v>0</v>
      </c>
      <c r="AF21" s="65" t="n">
        <f aca="false">IF($C$8=0,0,IF(AF$17&lt;$B$8,0,MAX(0,MIN(AF$19,$C$8-SUM($B21:AE21)))))</f>
        <v>0</v>
      </c>
      <c r="AG21" s="65" t="n">
        <f aca="false">IF($C$8=0,0,IF(AG$17&lt;$B$8,0,MAX(0,MIN(AG$19,$C$8-SUM($B21:AF21)))))</f>
        <v>0</v>
      </c>
      <c r="AH21" s="65" t="n">
        <f aca="false">IF($C$8=0,0,IF(AH$17&lt;$B$8,0,MAX(0,MIN(AH$19,$C$8-SUM($B21:AG21)))))</f>
        <v>0</v>
      </c>
      <c r="AI21" s="65" t="n">
        <f aca="false">IF($C$8=0,0,IF(AI$17&lt;$B$8,0,MAX(0,MIN(AI$19,$C$8-SUM($B21:AH21)))))</f>
        <v>0</v>
      </c>
      <c r="AJ21" s="65" t="n">
        <f aca="false">IF($C$8=0,0,IF(AJ$17&lt;$B$8,0,MAX(0,MIN(AJ$19,$C$8-SUM($B21:AI21)))))</f>
        <v>0</v>
      </c>
      <c r="AK21" s="65" t="n">
        <f aca="false">IF($C$8=0,0,IF(AK$17&lt;$B$8,0,MAX(0,MIN(AK$19,$C$8-SUM($B21:AJ21)))))</f>
        <v>0</v>
      </c>
      <c r="AL21" s="65" t="n">
        <f aca="false">IF($C$8=0,0,IF(AL$17&lt;$B$8,0,MAX(0,MIN(AL$19,$C$8-SUM($B21:AK21)))))</f>
        <v>0</v>
      </c>
      <c r="AM21" s="65" t="n">
        <f aca="false">IF($C$8=0,0,IF(AM$17&lt;$B$8,0,MAX(0,MIN(AM$19,$C$8-SUM($B21:AL21)))))</f>
        <v>0</v>
      </c>
      <c r="AN21" s="65" t="n">
        <f aca="false">IF($C$8=0,0,IF(AN$17&lt;$B$8,0,MAX(0,MIN(AN$19,$C$8-SUM($B21:AM21)))))</f>
        <v>0</v>
      </c>
      <c r="AO21" s="65" t="n">
        <f aca="false">IF($C$8=0,0,IF(AO$17&lt;$B$8,0,MAX(0,MIN(AO$19,$C$8-SUM($B21:AN21)))))</f>
        <v>0</v>
      </c>
      <c r="AP21" s="65" t="n">
        <f aca="false">IF($C$8=0,0,IF(AP$17&lt;$B$8,0,MAX(0,MIN(AP$19,$C$8-SUM($B21:AO21)))))</f>
        <v>0</v>
      </c>
      <c r="AQ21" s="65" t="n">
        <f aca="false">IF($C$8=0,0,IF(AQ$17&lt;$B$8,0,MAX(0,MIN(AQ$19,$C$8-SUM($B21:AP21)))))</f>
        <v>0</v>
      </c>
      <c r="AR21" s="65" t="n">
        <f aca="false">IF($C$8=0,0,IF(AR$17&lt;$B$8,0,MAX(0,MIN(AR$19,$C$8-SUM($B21:AQ21)))))</f>
        <v>0</v>
      </c>
      <c r="AS21" s="65" t="n">
        <f aca="false">IF($C$8=0,0,IF(AS$17&lt;$B$8,0,MAX(0,MIN(AS$19,$C$8-SUM($B21:AR21)))))</f>
        <v>0</v>
      </c>
      <c r="AT21" s="65" t="n">
        <f aca="false">IF($C$8=0,0,IF(AT$17&lt;$B$8,0,MAX(0,MIN(AT$19,$C$8-SUM($B21:AS21)))))</f>
        <v>0</v>
      </c>
      <c r="AU21" s="65" t="n">
        <f aca="false">IF($C$8=0,0,IF(AU$17&lt;$B$8,0,MAX(0,MIN(AU$19,$C$8-SUM($B21:AT21)))))</f>
        <v>0</v>
      </c>
      <c r="AV21" s="65" t="n">
        <f aca="false">IF($C$8=0,0,IF(AV$17&lt;$B$8,0,MAX(0,MIN(AV$19,$C$8-SUM($B21:AU21)))))</f>
        <v>0</v>
      </c>
      <c r="AW21" s="65" t="n">
        <f aca="false">IF($C$8=0,0,IF(AW$17&lt;$B$8,0,MAX(0,MIN(AW$19,$C$8-SUM($B21:AV21)))))</f>
        <v>0</v>
      </c>
      <c r="AX21" s="65" t="n">
        <f aca="false">IF($C$8=0,0,IF(AX$17&lt;$B$8,0,MAX(0,MIN(AX$19,$C$8-SUM($B21:AW21)))))</f>
        <v>0</v>
      </c>
      <c r="AY21" s="65" t="n">
        <f aca="false">IF($C$8=0,0,IF(AY$17&lt;$B$8,0,MAX(0,MIN(AY$19,$C$8-SUM($B21:AX21)))))</f>
        <v>0</v>
      </c>
      <c r="AZ21" s="65" t="n">
        <f aca="false">IF($C$8=0,0,IF(AZ$17&lt;$B$8,0,MAX(0,MIN(AZ$19,$C$8-SUM($B21:AY21)))))</f>
        <v>0</v>
      </c>
      <c r="BA21" s="65" t="n">
        <f aca="false">IF($C$8=0,0,IF(BA$17&lt;$B$8,0,MAX(0,MIN(BA$19,$C$8-SUM($B21:AZ21)))))</f>
        <v>0</v>
      </c>
      <c r="BB21" s="65" t="n">
        <f aca="false">IF($C$8=0,0,IF(BB$17&lt;$B$8,0,MAX(0,MIN(BB$19,$C$8-SUM($B21:BA21)))))</f>
        <v>0</v>
      </c>
      <c r="BC21" s="65" t="n">
        <f aca="false">IF($C$8=0,0,IF(BC$17&lt;$B$8,0,MAX(0,MIN(BC$19,$C$8-SUM($B21:BB21)))))</f>
        <v>0</v>
      </c>
      <c r="BD21" s="65" t="n">
        <f aca="false">IF($C$8=0,0,IF(BD$17&lt;$B$8,0,MAX(0,MIN(BD$19,$C$8-SUM($B21:BC21)))))</f>
        <v>0</v>
      </c>
      <c r="BE21" s="65" t="n">
        <f aca="false">IF($C$8=0,0,IF(BE$17&lt;$B$8,0,MAX(0,MIN(BE$19,$C$8-SUM($B21:BD21)))))</f>
        <v>0</v>
      </c>
      <c r="BF21" s="65" t="n">
        <f aca="false">IF($C$8=0,0,IF(BF$17&lt;$B$8,0,MAX(0,MIN(BF$19,$C$8-SUM($B21:BE21)))))</f>
        <v>0</v>
      </c>
      <c r="BG21" s="65" t="n">
        <f aca="false">IF($C$8=0,0,IF(BG$17&lt;$B$8,0,MAX(0,MIN(BG$19,$C$8-SUM($B21:BF21)))))</f>
        <v>0</v>
      </c>
      <c r="BH21" s="65" t="n">
        <f aca="false">IF($C$8=0,0,IF(BH$17&lt;$B$8,0,MAX(0,MIN(BH$19,$C$8-SUM($B21:BG21)))))</f>
        <v>0</v>
      </c>
      <c r="BI21" s="65" t="n">
        <f aca="false">IF($C$8=0,0,IF(BI$17&lt;$B$8,0,MAX(0,MIN(BI$19,$C$8-SUM($B21:BH21)))))</f>
        <v>0</v>
      </c>
      <c r="BJ21" s="65" t="n">
        <f aca="false">IF($C$8=0,0,IF(BJ$17&lt;$B$8,0,MAX(0,MIN(BJ$19,$C$8-SUM($B21:BI21)))))</f>
        <v>0</v>
      </c>
      <c r="BK21" s="65" t="n">
        <f aca="false">IF($C$8=0,0,IF(BK$17&lt;$B$8,0,MAX(0,MIN(BK$19,$C$8-SUM($B21:BJ21)))))</f>
        <v>0</v>
      </c>
      <c r="BL21" s="65" t="n">
        <f aca="false">IF($C$8=0,0,IF(BL$17&lt;$B$8,0,MAX(0,MIN(BL$19,$C$8-SUM($B21:BK21)))))</f>
        <v>0</v>
      </c>
      <c r="BM21" s="65" t="n">
        <f aca="false">IF($C$8=0,0,IF(BM$17&lt;$B$8,0,MAX(0,MIN(BM$19,$C$8-SUM($B21:BL21)))))</f>
        <v>0</v>
      </c>
      <c r="BN21" s="65" t="n">
        <f aca="false">IF($C$8=0,0,IF(BN$17&lt;$B$8,0,MAX(0,MIN(BN$19,$C$8-SUM($B21:BM21)))))</f>
        <v>0</v>
      </c>
      <c r="BO21" s="65" t="n">
        <f aca="false">IF($C$8=0,0,IF(BO$17&lt;$B$8,0,MAX(0,MIN(BO$19,$C$8-SUM($B21:BN21)))))</f>
        <v>0</v>
      </c>
      <c r="BP21" s="65" t="n">
        <f aca="false">IF($C$8=0,0,IF(BP$17&lt;$B$8,0,MAX(0,MIN(BP$19,$C$8-SUM($B21:BO21)))))</f>
        <v>0</v>
      </c>
      <c r="BQ21" s="65" t="n">
        <f aca="false">IF($C$8=0,0,IF(BQ$17&lt;$B$8,0,MAX(0,MIN(BQ$19,$C$8-SUM($B21:BP21)))))</f>
        <v>0</v>
      </c>
      <c r="BR21" s="65" t="n">
        <f aca="false">IF($C$8=0,0,IF(BR$17&lt;$B$8,0,MAX(0,MIN(BR$19,$C$8-SUM($B21:BQ21)))))</f>
        <v>0</v>
      </c>
      <c r="BS21" s="65" t="n">
        <f aca="false">IF($C$8=0,0,IF(BS$17&lt;$B$8,0,MAX(0,MIN(BS$19,$C$8-SUM($B21:BR21)))))</f>
        <v>0</v>
      </c>
      <c r="BT21" s="65" t="n">
        <f aca="false">IF($C$8=0,0,IF(BT$17&lt;$B$8,0,MAX(0,MIN(BT$19,$C$8-SUM($B21:BS21)))))</f>
        <v>0</v>
      </c>
      <c r="BU21" s="65" t="n">
        <f aca="false">IF($C$8=0,0,IF(BU$17&lt;$B$8,0,MAX(0,MIN(BU$19,$C$8-SUM($B21:BT21)))))</f>
        <v>0</v>
      </c>
      <c r="BV21" s="65" t="n">
        <f aca="false">IF($C$8=0,0,IF(BV$17&lt;$B$8,0,MAX(0,MIN(BV$19,$C$8-SUM($B21:BU21)))))</f>
        <v>0</v>
      </c>
      <c r="BW21" s="65" t="n">
        <f aca="false">IF($C$8=0,0,IF(BW$17&lt;$B$8,0,MAX(0,MIN(BW$19,$C$8-SUM($B21:BV21)))))</f>
        <v>0</v>
      </c>
      <c r="BX21" s="65" t="n">
        <f aca="false">IF($C$8=0,0,IF(BX$17&lt;$B$8,0,MAX(0,MIN(BX$19,$C$8-SUM($B21:BW21)))))</f>
        <v>0</v>
      </c>
      <c r="BY21" s="65" t="n">
        <f aca="false">IF($C$8=0,0,IF(BY$17&lt;$B$8,0,MAX(0,MIN(BY$19,$C$8-SUM($B21:BX21)))))</f>
        <v>0</v>
      </c>
      <c r="BZ21" s="65" t="n">
        <f aca="false">IF($C$8=0,0,IF(BZ$17&lt;$B$8,0,MAX(0,MIN(BZ$19,$C$8-SUM($B21:BY21)))))</f>
        <v>0</v>
      </c>
      <c r="CA21" s="65" t="n">
        <f aca="false">IF($C$8=0,0,IF(CA$17&lt;$B$8,0,MAX(0,MIN(CA$19,$C$8-SUM($B21:BZ21)))))</f>
        <v>0</v>
      </c>
      <c r="CB21" s="65" t="n">
        <f aca="false">IF($C$8=0,0,IF(CB$17&lt;$B$8,0,MAX(0,MIN(CB$19,$C$8-SUM($B21:CA21)))))</f>
        <v>0</v>
      </c>
      <c r="CC21" s="65" t="n">
        <f aca="false">IF($C$8=0,0,IF(CC$17&lt;$B$8,0,MAX(0,MIN(CC$19,$C$8-SUM($B21:CB21)))))</f>
        <v>0</v>
      </c>
      <c r="CD21" s="65" t="n">
        <f aca="false">IF($C$8=0,0,IF(CD$17&lt;$B$8,0,MAX(0,MIN(CD$19,$C$8-SUM($B21:CC21)))))</f>
        <v>0</v>
      </c>
      <c r="CE21" s="65" t="n">
        <f aca="false">IF($C$8=0,0,IF(CE$17&lt;$B$8,0,MAX(0,MIN(CE$19,$C$8-SUM($B21:CD21)))))</f>
        <v>0</v>
      </c>
      <c r="CF21" s="65" t="n">
        <f aca="false">IF($C$8=0,0,IF(CF$17&lt;$B$8,0,MAX(0,MIN(CF$19,$C$8-SUM($B21:CE21)))))</f>
        <v>0</v>
      </c>
      <c r="CG21" s="65" t="n">
        <f aca="false">IF($C$8=0,0,IF(CG$17&lt;$B$8,0,MAX(0,MIN(CG$19,$C$8-SUM($B21:CF21)))))</f>
        <v>0</v>
      </c>
      <c r="CH21" s="65" t="n">
        <f aca="false">IF($C$8=0,0,IF(CH$17&lt;$B$8,0,MAX(0,MIN(CH$19,$C$8-SUM($B21:CG21)))))</f>
        <v>0</v>
      </c>
      <c r="CI21" s="65" t="n">
        <f aca="false">IF($C$8=0,0,IF(CI$17&lt;$B$8,0,MAX(0,MIN(CI$19,$C$8-SUM($B21:CH21)))))</f>
        <v>0</v>
      </c>
      <c r="CJ21" s="65" t="n">
        <f aca="false">IF($C$8=0,0,IF(CJ$17&lt;$B$8,0,MAX(0,MIN(CJ$19,$C$8-SUM($B21:CI21)))))</f>
        <v>0</v>
      </c>
      <c r="CK21" s="65" t="n">
        <f aca="false">IF($C$8=0,0,IF(CK$17&lt;$B$8,0,MAX(0,MIN(CK$19,$C$8-SUM($B21:CJ21)))))</f>
        <v>0</v>
      </c>
      <c r="CL21" s="65" t="n">
        <f aca="false">IF($C$8=0,0,IF(CL$17&lt;$B$8,0,MAX(0,MIN(CL$19,$C$8-SUM($B21:CK21)))))</f>
        <v>0</v>
      </c>
      <c r="CM21" s="65" t="n">
        <f aca="false">IF($C$8=0,0,IF(CM$17&lt;$B$8,0,MAX(0,MIN(CM$19,$C$8-SUM($B21:CL21)))))</f>
        <v>0</v>
      </c>
      <c r="CN21" s="65" t="n">
        <f aca="false">IF($C$8=0,0,IF(CN$17&lt;$B$8,0,MAX(0,MIN(CN$19,$C$8-SUM($B21:CM21)))))</f>
        <v>0</v>
      </c>
    </row>
    <row r="22" customFormat="false" ht="15.75" hidden="false" customHeight="true" outlineLevel="0" collapsed="false">
      <c r="A22" s="64" t="str">
        <f aca="false">A9</f>
        <v/>
      </c>
      <c r="B22" s="62" t="n">
        <v>0</v>
      </c>
      <c r="C22" s="65" t="n">
        <f aca="false">IF($C$9=0,0,IF(C$17&lt;$B$9,0,MAX(0,MIN(C$19,$C$9-SUM($B22:B22)))))</f>
        <v>0</v>
      </c>
      <c r="D22" s="65" t="n">
        <f aca="false">IF($C$9=0,0,IF(D$17&lt;$B$9,0,MAX(0,MIN(D$19,$C$9-SUM($B22:C22)))))</f>
        <v>0</v>
      </c>
      <c r="E22" s="65" t="n">
        <f aca="false">IF($C$9=0,0,IF(E$17&lt;$B$9,0,MAX(0,MIN(E$19,$C$9-SUM($B22:D22)))))</f>
        <v>0</v>
      </c>
      <c r="F22" s="65" t="n">
        <f aca="false">IF($C$9=0,0,IF(F$17&lt;$B$9,0,MAX(0,MIN(F$19,$C$9-SUM($B22:E22)))))</f>
        <v>0</v>
      </c>
      <c r="G22" s="65" t="n">
        <f aca="false">IF($C$9=0,0,IF(G$17&lt;$B$9,0,MAX(0,MIN(G$19,$C$9-SUM($B22:F22)))))</f>
        <v>0</v>
      </c>
      <c r="H22" s="65" t="n">
        <f aca="false">IF($C$9=0,0,IF(H$17&lt;$B$9,0,MAX(0,MIN(H$19,$C$9-SUM($B22:G22)))))</f>
        <v>0</v>
      </c>
      <c r="I22" s="65" t="n">
        <f aca="false">IF($C$9=0,0,IF(I$17&lt;$B$9,0,MAX(0,MIN(I$19,$C$9-SUM($B22:H22)))))</f>
        <v>0</v>
      </c>
      <c r="J22" s="65" t="n">
        <f aca="false">IF($C$9=0,0,IF(J$17&lt;$B$9,0,MAX(0,MIN(J$19,$C$9-SUM($B22:I22)))))</f>
        <v>0</v>
      </c>
      <c r="K22" s="65" t="n">
        <f aca="false">IF($C$9=0,0,IF(K$17&lt;$B$9,0,MAX(0,MIN(K$19,$C$9-SUM($B22:J22)))))</f>
        <v>0</v>
      </c>
      <c r="L22" s="65" t="n">
        <f aca="false">IF($C$9=0,0,IF(L$17&lt;$B$9,0,MAX(0,MIN(L$19,$C$9-SUM($B22:K22)))))</f>
        <v>0</v>
      </c>
      <c r="M22" s="65" t="n">
        <f aca="false">IF($C$9=0,0,IF(M$17&lt;$B$9,0,MAX(0,MIN(M$19,$C$9-SUM($B22:L22)))))</f>
        <v>0</v>
      </c>
      <c r="N22" s="65" t="n">
        <f aca="false">IF($C$9=0,0,IF(N$17&lt;$B$9,0,MAX(0,MIN(N$19,$C$9-SUM($B22:M22)))))</f>
        <v>0</v>
      </c>
      <c r="O22" s="65" t="n">
        <f aca="false">IF($C$9=0,0,IF(O$17&lt;$B$9,0,MAX(0,MIN(O$19,$C$9-SUM($B22:N22)))))</f>
        <v>0</v>
      </c>
      <c r="P22" s="65" t="n">
        <f aca="false">IF($C$9=0,0,IF(P$17&lt;$B$9,0,MAX(0,MIN(P$19,$C$9-SUM($B22:O22)))))</f>
        <v>0</v>
      </c>
      <c r="Q22" s="65" t="n">
        <f aca="false">IF($C$9=0,0,IF(Q$17&lt;$B$9,0,MAX(0,MIN(Q$19,$C$9-SUM($B22:P22)))))</f>
        <v>0</v>
      </c>
      <c r="R22" s="65" t="n">
        <f aca="false">IF($C$9=0,0,IF(R$17&lt;$B$9,0,MAX(0,MIN(R$19,$C$9-SUM($B22:Q22)))))</f>
        <v>0</v>
      </c>
      <c r="S22" s="65" t="n">
        <f aca="false">IF($C$9=0,0,IF(S$17&lt;$B$9,0,MAX(0,MIN(S$19,$C$9-SUM($B22:R22)))))</f>
        <v>0</v>
      </c>
      <c r="T22" s="65" t="n">
        <f aca="false">IF($C$9=0,0,IF(T$17&lt;$B$9,0,MAX(0,MIN(T$19,$C$9-SUM($B22:S22)))))</f>
        <v>0</v>
      </c>
      <c r="U22" s="65" t="n">
        <f aca="false">IF($C$9=0,0,IF(U$17&lt;$B$9,0,MAX(0,MIN(U$19,$C$9-SUM($B22:T22)))))</f>
        <v>0</v>
      </c>
      <c r="V22" s="65" t="n">
        <f aca="false">IF($C$9=0,0,IF(V$17&lt;$B$9,0,MAX(0,MIN(V$19,$C$9-SUM($B22:U22)))))</f>
        <v>0</v>
      </c>
      <c r="W22" s="65" t="n">
        <f aca="false">IF($C$9=0,0,IF(W$17&lt;$B$9,0,MAX(0,MIN(W$19,$C$9-SUM($B22:V22)))))</f>
        <v>0</v>
      </c>
      <c r="X22" s="65" t="n">
        <f aca="false">IF($C$9=0,0,IF(X$17&lt;$B$9,0,MAX(0,MIN(X$19,$C$9-SUM($B22:W22)))))</f>
        <v>0</v>
      </c>
      <c r="Y22" s="65" t="n">
        <f aca="false">IF($C$9=0,0,IF(Y$17&lt;$B$9,0,MAX(0,MIN(Y$19,$C$9-SUM($B22:X22)))))</f>
        <v>0</v>
      </c>
      <c r="Z22" s="65" t="n">
        <f aca="false">IF($C$9=0,0,IF(Z$17&lt;$B$9,0,MAX(0,MIN(Z$19,$C$9-SUM($B22:Y22)))))</f>
        <v>0</v>
      </c>
      <c r="AA22" s="65" t="n">
        <f aca="false">IF($C$9=0,0,IF(AA$17&lt;$B$9,0,MAX(0,MIN(AA$19,$C$9-SUM($B22:Z22)))))</f>
        <v>0</v>
      </c>
      <c r="AB22" s="65" t="n">
        <f aca="false">IF($C$9=0,0,IF(AB$17&lt;$B$9,0,MAX(0,MIN(AB$19,$C$9-SUM($B22:AA22)))))</f>
        <v>0</v>
      </c>
      <c r="AC22" s="65" t="n">
        <f aca="false">IF($C$9=0,0,IF(AC$17&lt;$B$9,0,MAX(0,MIN(AC$19,$C$9-SUM($B22:AB22)))))</f>
        <v>0</v>
      </c>
      <c r="AD22" s="65" t="n">
        <f aca="false">IF($C$9=0,0,IF(AD$17&lt;$B$9,0,MAX(0,MIN(AD$19,$C$9-SUM($B22:AC22)))))</f>
        <v>0</v>
      </c>
      <c r="AE22" s="65" t="n">
        <f aca="false">IF($C$9=0,0,IF(AE$17&lt;$B$9,0,MAX(0,MIN(AE$19,$C$9-SUM($B22:AD22)))))</f>
        <v>0</v>
      </c>
      <c r="AF22" s="65" t="n">
        <f aca="false">IF($C$9=0,0,IF(AF$17&lt;$B$9,0,MAX(0,MIN(AF$19,$C$9-SUM($B22:AE22)))))</f>
        <v>0</v>
      </c>
      <c r="AG22" s="65" t="n">
        <f aca="false">IF($C$9=0,0,IF(AG$17&lt;$B$9,0,MAX(0,MIN(AG$19,$C$9-SUM($B22:AF22)))))</f>
        <v>0</v>
      </c>
      <c r="AH22" s="65" t="n">
        <f aca="false">IF($C$9=0,0,IF(AH$17&lt;$B$9,0,MAX(0,MIN(AH$19,$C$9-SUM($B22:AG22)))))</f>
        <v>0</v>
      </c>
      <c r="AI22" s="65" t="n">
        <f aca="false">IF($C$9=0,0,IF(AI$17&lt;$B$9,0,MAX(0,MIN(AI$19,$C$9-SUM($B22:AH22)))))</f>
        <v>0</v>
      </c>
      <c r="AJ22" s="65" t="n">
        <f aca="false">IF($C$9=0,0,IF(AJ$17&lt;$B$9,0,MAX(0,MIN(AJ$19,$C$9-SUM($B22:AI22)))))</f>
        <v>0</v>
      </c>
      <c r="AK22" s="65" t="n">
        <f aca="false">IF($C$9=0,0,IF(AK$17&lt;$B$9,0,MAX(0,MIN(AK$19,$C$9-SUM($B22:AJ22)))))</f>
        <v>0</v>
      </c>
      <c r="AL22" s="65" t="n">
        <f aca="false">IF($C$9=0,0,IF(AL$17&lt;$B$9,0,MAX(0,MIN(AL$19,$C$9-SUM($B22:AK22)))))</f>
        <v>0</v>
      </c>
      <c r="AM22" s="65" t="n">
        <f aca="false">IF($C$9=0,0,IF(AM$17&lt;$B$9,0,MAX(0,MIN(AM$19,$C$9-SUM($B22:AL22)))))</f>
        <v>0</v>
      </c>
      <c r="AN22" s="65" t="n">
        <f aca="false">IF($C$9=0,0,IF(AN$17&lt;$B$9,0,MAX(0,MIN(AN$19,$C$9-SUM($B22:AM22)))))</f>
        <v>0</v>
      </c>
      <c r="AO22" s="65" t="n">
        <f aca="false">IF($C$9=0,0,IF(AO$17&lt;$B$9,0,MAX(0,MIN(AO$19,$C$9-SUM($B22:AN22)))))</f>
        <v>0</v>
      </c>
      <c r="AP22" s="65" t="n">
        <f aca="false">IF($C$9=0,0,IF(AP$17&lt;$B$9,0,MAX(0,MIN(AP$19,$C$9-SUM($B22:AO22)))))</f>
        <v>0</v>
      </c>
      <c r="AQ22" s="65" t="n">
        <f aca="false">IF($C$9=0,0,IF(AQ$17&lt;$B$9,0,MAX(0,MIN(AQ$19,$C$9-SUM($B22:AP22)))))</f>
        <v>0</v>
      </c>
      <c r="AR22" s="65" t="n">
        <f aca="false">IF($C$9=0,0,IF(AR$17&lt;$B$9,0,MAX(0,MIN(AR$19,$C$9-SUM($B22:AQ22)))))</f>
        <v>0</v>
      </c>
      <c r="AS22" s="65" t="n">
        <f aca="false">IF($C$9=0,0,IF(AS$17&lt;$B$9,0,MAX(0,MIN(AS$19,$C$9-SUM($B22:AR22)))))</f>
        <v>0</v>
      </c>
      <c r="AT22" s="65" t="n">
        <f aca="false">IF($C$9=0,0,IF(AT$17&lt;$B$9,0,MAX(0,MIN(AT$19,$C$9-SUM($B22:AS22)))))</f>
        <v>0</v>
      </c>
      <c r="AU22" s="65" t="n">
        <f aca="false">IF($C$9=0,0,IF(AU$17&lt;$B$9,0,MAX(0,MIN(AU$19,$C$9-SUM($B22:AT22)))))</f>
        <v>0</v>
      </c>
      <c r="AV22" s="65" t="n">
        <f aca="false">IF($C$9=0,0,IF(AV$17&lt;$B$9,0,MAX(0,MIN(AV$19,$C$9-SUM($B22:AU22)))))</f>
        <v>0</v>
      </c>
      <c r="AW22" s="65" t="n">
        <f aca="false">IF($C$9=0,0,IF(AW$17&lt;$B$9,0,MAX(0,MIN(AW$19,$C$9-SUM($B22:AV22)))))</f>
        <v>0</v>
      </c>
      <c r="AX22" s="65" t="n">
        <f aca="false">IF($C$9=0,0,IF(AX$17&lt;$B$9,0,MAX(0,MIN(AX$19,$C$9-SUM($B22:AW22)))))</f>
        <v>0</v>
      </c>
      <c r="AY22" s="65" t="n">
        <f aca="false">IF($C$9=0,0,IF(AY$17&lt;$B$9,0,MAX(0,MIN(AY$19,$C$9-SUM($B22:AX22)))))</f>
        <v>0</v>
      </c>
      <c r="AZ22" s="65" t="n">
        <f aca="false">IF($C$9=0,0,IF(AZ$17&lt;$B$9,0,MAX(0,MIN(AZ$19,$C$9-SUM($B22:AY22)))))</f>
        <v>0</v>
      </c>
      <c r="BA22" s="65" t="n">
        <f aca="false">IF($C$9=0,0,IF(BA$17&lt;$B$9,0,MAX(0,MIN(BA$19,$C$9-SUM($B22:AZ22)))))</f>
        <v>0</v>
      </c>
      <c r="BB22" s="65" t="n">
        <f aca="false">IF($C$9=0,0,IF(BB$17&lt;$B$9,0,MAX(0,MIN(BB$19,$C$9-SUM($B22:BA22)))))</f>
        <v>0</v>
      </c>
      <c r="BC22" s="65" t="n">
        <f aca="false">IF($C$9=0,0,IF(BC$17&lt;$B$9,0,MAX(0,MIN(BC$19,$C$9-SUM($B22:BB22)))))</f>
        <v>0</v>
      </c>
      <c r="BD22" s="65" t="n">
        <f aca="false">IF($C$9=0,0,IF(BD$17&lt;$B$9,0,MAX(0,MIN(BD$19,$C$9-SUM($B22:BC22)))))</f>
        <v>0</v>
      </c>
      <c r="BE22" s="65" t="n">
        <f aca="false">IF($C$9=0,0,IF(BE$17&lt;$B$9,0,MAX(0,MIN(BE$19,$C$9-SUM($B22:BD22)))))</f>
        <v>0</v>
      </c>
      <c r="BF22" s="65" t="n">
        <f aca="false">IF($C$9=0,0,IF(BF$17&lt;$B$9,0,MAX(0,MIN(BF$19,$C$9-SUM($B22:BE22)))))</f>
        <v>0</v>
      </c>
      <c r="BG22" s="65" t="n">
        <f aca="false">IF($C$9=0,0,IF(BG$17&lt;$B$9,0,MAX(0,MIN(BG$19,$C$9-SUM($B22:BF22)))))</f>
        <v>0</v>
      </c>
      <c r="BH22" s="65" t="n">
        <f aca="false">IF($C$9=0,0,IF(BH$17&lt;$B$9,0,MAX(0,MIN(BH$19,$C$9-SUM($B22:BG22)))))</f>
        <v>0</v>
      </c>
      <c r="BI22" s="65" t="n">
        <f aca="false">IF($C$9=0,0,IF(BI$17&lt;$B$9,0,MAX(0,MIN(BI$19,$C$9-SUM($B22:BH22)))))</f>
        <v>0</v>
      </c>
      <c r="BJ22" s="65" t="n">
        <f aca="false">IF($C$9=0,0,IF(BJ$17&lt;$B$9,0,MAX(0,MIN(BJ$19,$C$9-SUM($B22:BI22)))))</f>
        <v>0</v>
      </c>
      <c r="BK22" s="65" t="n">
        <f aca="false">IF($C$9=0,0,IF(BK$17&lt;$B$9,0,MAX(0,MIN(BK$19,$C$9-SUM($B22:BJ22)))))</f>
        <v>0</v>
      </c>
      <c r="BL22" s="65" t="n">
        <f aca="false">IF($C$9=0,0,IF(BL$17&lt;$B$9,0,MAX(0,MIN(BL$19,$C$9-SUM($B22:BK22)))))</f>
        <v>0</v>
      </c>
      <c r="BM22" s="65" t="n">
        <f aca="false">IF($C$9=0,0,IF(BM$17&lt;$B$9,0,MAX(0,MIN(BM$19,$C$9-SUM($B22:BL22)))))</f>
        <v>0</v>
      </c>
      <c r="BN22" s="65" t="n">
        <f aca="false">IF($C$9=0,0,IF(BN$17&lt;$B$9,0,MAX(0,MIN(BN$19,$C$9-SUM($B22:BM22)))))</f>
        <v>0</v>
      </c>
      <c r="BO22" s="65" t="n">
        <f aca="false">IF($C$9=0,0,IF(BO$17&lt;$B$9,0,MAX(0,MIN(BO$19,$C$9-SUM($B22:BN22)))))</f>
        <v>0</v>
      </c>
      <c r="BP22" s="65" t="n">
        <f aca="false">IF($C$9=0,0,IF(BP$17&lt;$B$9,0,MAX(0,MIN(BP$19,$C$9-SUM($B22:BO22)))))</f>
        <v>0</v>
      </c>
      <c r="BQ22" s="65" t="n">
        <f aca="false">IF($C$9=0,0,IF(BQ$17&lt;$B$9,0,MAX(0,MIN(BQ$19,$C$9-SUM($B22:BP22)))))</f>
        <v>0</v>
      </c>
      <c r="BR22" s="65" t="n">
        <f aca="false">IF($C$9=0,0,IF(BR$17&lt;$B$9,0,MAX(0,MIN(BR$19,$C$9-SUM($B22:BQ22)))))</f>
        <v>0</v>
      </c>
      <c r="BS22" s="65" t="n">
        <f aca="false">IF($C$9=0,0,IF(BS$17&lt;$B$9,0,MAX(0,MIN(BS$19,$C$9-SUM($B22:BR22)))))</f>
        <v>0</v>
      </c>
      <c r="BT22" s="65" t="n">
        <f aca="false">IF($C$9=0,0,IF(BT$17&lt;$B$9,0,MAX(0,MIN(BT$19,$C$9-SUM($B22:BS22)))))</f>
        <v>0</v>
      </c>
      <c r="BU22" s="65" t="n">
        <f aca="false">IF($C$9=0,0,IF(BU$17&lt;$B$9,0,MAX(0,MIN(BU$19,$C$9-SUM($B22:BT22)))))</f>
        <v>0</v>
      </c>
      <c r="BV22" s="65" t="n">
        <f aca="false">IF($C$9=0,0,IF(BV$17&lt;$B$9,0,MAX(0,MIN(BV$19,$C$9-SUM($B22:BU22)))))</f>
        <v>0</v>
      </c>
      <c r="BW22" s="65" t="n">
        <f aca="false">IF($C$9=0,0,IF(BW$17&lt;$B$9,0,MAX(0,MIN(BW$19,$C$9-SUM($B22:BV22)))))</f>
        <v>0</v>
      </c>
      <c r="BX22" s="65" t="n">
        <f aca="false">IF($C$9=0,0,IF(BX$17&lt;$B$9,0,MAX(0,MIN(BX$19,$C$9-SUM($B22:BW22)))))</f>
        <v>0</v>
      </c>
      <c r="BY22" s="65" t="n">
        <f aca="false">IF($C$9=0,0,IF(BY$17&lt;$B$9,0,MAX(0,MIN(BY$19,$C$9-SUM($B22:BX22)))))</f>
        <v>0</v>
      </c>
      <c r="BZ22" s="65" t="n">
        <f aca="false">IF($C$9=0,0,IF(BZ$17&lt;$B$9,0,MAX(0,MIN(BZ$19,$C$9-SUM($B22:BY22)))))</f>
        <v>0</v>
      </c>
      <c r="CA22" s="65" t="n">
        <f aca="false">IF($C$9=0,0,IF(CA$17&lt;$B$9,0,MAX(0,MIN(CA$19,$C$9-SUM($B22:BZ22)))))</f>
        <v>0</v>
      </c>
      <c r="CB22" s="65" t="n">
        <f aca="false">IF($C$9=0,0,IF(CB$17&lt;$B$9,0,MAX(0,MIN(CB$19,$C$9-SUM($B22:CA22)))))</f>
        <v>0</v>
      </c>
      <c r="CC22" s="65" t="n">
        <f aca="false">IF($C$9=0,0,IF(CC$17&lt;$B$9,0,MAX(0,MIN(CC$19,$C$9-SUM($B22:CB22)))))</f>
        <v>0</v>
      </c>
      <c r="CD22" s="65" t="n">
        <f aca="false">IF($C$9=0,0,IF(CD$17&lt;$B$9,0,MAX(0,MIN(CD$19,$C$9-SUM($B22:CC22)))))</f>
        <v>0</v>
      </c>
      <c r="CE22" s="65" t="n">
        <f aca="false">IF($C$9=0,0,IF(CE$17&lt;$B$9,0,MAX(0,MIN(CE$19,$C$9-SUM($B22:CD22)))))</f>
        <v>0</v>
      </c>
      <c r="CF22" s="65" t="n">
        <f aca="false">IF($C$9=0,0,IF(CF$17&lt;$B$9,0,MAX(0,MIN(CF$19,$C$9-SUM($B22:CE22)))))</f>
        <v>0</v>
      </c>
      <c r="CG22" s="65" t="n">
        <f aca="false">IF($C$9=0,0,IF(CG$17&lt;$B$9,0,MAX(0,MIN(CG$19,$C$9-SUM($B22:CF22)))))</f>
        <v>0</v>
      </c>
      <c r="CH22" s="65" t="n">
        <f aca="false">IF($C$9=0,0,IF(CH$17&lt;$B$9,0,MAX(0,MIN(CH$19,$C$9-SUM($B22:CG22)))))</f>
        <v>0</v>
      </c>
      <c r="CI22" s="65" t="n">
        <f aca="false">IF($C$9=0,0,IF(CI$17&lt;$B$9,0,MAX(0,MIN(CI$19,$C$9-SUM($B22:CH22)))))</f>
        <v>0</v>
      </c>
      <c r="CJ22" s="65" t="n">
        <f aca="false">IF($C$9=0,0,IF(CJ$17&lt;$B$9,0,MAX(0,MIN(CJ$19,$C$9-SUM($B22:CI22)))))</f>
        <v>0</v>
      </c>
      <c r="CK22" s="65" t="n">
        <f aca="false">IF($C$9=0,0,IF(CK$17&lt;$B$9,0,MAX(0,MIN(CK$19,$C$9-SUM($B22:CJ22)))))</f>
        <v>0</v>
      </c>
      <c r="CL22" s="65" t="n">
        <f aca="false">IF($C$9=0,0,IF(CL$17&lt;$B$9,0,MAX(0,MIN(CL$19,$C$9-SUM($B22:CK22)))))</f>
        <v>0</v>
      </c>
      <c r="CM22" s="65" t="n">
        <f aca="false">IF($C$9=0,0,IF(CM$17&lt;$B$9,0,MAX(0,MIN(CM$19,$C$9-SUM($B22:CL22)))))</f>
        <v>0</v>
      </c>
      <c r="CN22" s="65" t="n">
        <f aca="false">IF($C$9=0,0,IF(CN$17&lt;$B$9,0,MAX(0,MIN(CN$19,$C$9-SUM($B22:CM22)))))</f>
        <v>0</v>
      </c>
    </row>
    <row r="23" customFormat="false" ht="15.75" hidden="false" customHeight="true" outlineLevel="0" collapsed="false">
      <c r="A23" s="64" t="str">
        <f aca="false">A10</f>
        <v/>
      </c>
      <c r="B23" s="62" t="n">
        <v>0</v>
      </c>
      <c r="C23" s="65" t="n">
        <f aca="false">IF($C$10=0,0,IF(C$17&lt;$B$10,0,MAX(0,MIN(C$19,$C$10-SUM($B23:B23)))))</f>
        <v>0</v>
      </c>
      <c r="D23" s="65" t="n">
        <f aca="false">IF($C$10=0,0,IF(D$17&lt;$B$10,0,MAX(0,MIN(D$19,$C$10-SUM($B23:C23)))))</f>
        <v>0</v>
      </c>
      <c r="E23" s="65" t="n">
        <f aca="false">IF($C$10=0,0,IF(E$17&lt;$B$10,0,MAX(0,MIN(E$19,$C$10-SUM($B23:D23)))))</f>
        <v>0</v>
      </c>
      <c r="F23" s="65" t="n">
        <f aca="false">IF($C$10=0,0,IF(F$17&lt;$B$10,0,MAX(0,MIN(F$19,$C$10-SUM($B23:E23)))))</f>
        <v>0</v>
      </c>
      <c r="G23" s="65" t="n">
        <f aca="false">IF($C$10=0,0,IF(G$17&lt;$B$10,0,MAX(0,MIN(G$19,$C$10-SUM($B23:F23)))))</f>
        <v>0</v>
      </c>
      <c r="H23" s="65" t="n">
        <f aca="false">IF($C$10=0,0,IF(H$17&lt;$B$10,0,MAX(0,MIN(H$19,$C$10-SUM($B23:G23)))))</f>
        <v>0</v>
      </c>
      <c r="I23" s="65" t="n">
        <f aca="false">IF($C$10=0,0,IF(I$17&lt;$B$10,0,MAX(0,MIN(I$19,$C$10-SUM($B23:H23)))))</f>
        <v>0</v>
      </c>
      <c r="J23" s="65" t="n">
        <f aca="false">IF($C$10=0,0,IF(J$17&lt;$B$10,0,MAX(0,MIN(J$19,$C$10-SUM($B23:I23)))))</f>
        <v>0</v>
      </c>
      <c r="K23" s="65" t="n">
        <f aca="false">IF($C$10=0,0,IF(K$17&lt;$B$10,0,MAX(0,MIN(K$19,$C$10-SUM($B23:J23)))))</f>
        <v>0</v>
      </c>
      <c r="L23" s="65" t="n">
        <f aca="false">IF($C$10=0,0,IF(L$17&lt;$B$10,0,MAX(0,MIN(L$19,$C$10-SUM($B23:K23)))))</f>
        <v>0</v>
      </c>
      <c r="M23" s="65" t="n">
        <f aca="false">IF($C$10=0,0,IF(M$17&lt;$B$10,0,MAX(0,MIN(M$19,$C$10-SUM($B23:L23)))))</f>
        <v>0</v>
      </c>
      <c r="N23" s="65" t="n">
        <f aca="false">IF($C$10=0,0,IF(N$17&lt;$B$10,0,MAX(0,MIN(N$19,$C$10-SUM($B23:M23)))))</f>
        <v>0</v>
      </c>
      <c r="O23" s="65" t="n">
        <f aca="false">IF($C$10=0,0,IF(O$17&lt;$B$10,0,MAX(0,MIN(O$19,$C$10-SUM($B23:N23)))))</f>
        <v>0</v>
      </c>
      <c r="P23" s="65" t="n">
        <f aca="false">IF($C$10=0,0,IF(P$17&lt;$B$10,0,MAX(0,MIN(P$19,$C$10-SUM($B23:O23)))))</f>
        <v>0</v>
      </c>
      <c r="Q23" s="65" t="n">
        <f aca="false">IF($C$10=0,0,IF(Q$17&lt;$B$10,0,MAX(0,MIN(Q$19,$C$10-SUM($B23:P23)))))</f>
        <v>0</v>
      </c>
      <c r="R23" s="65" t="n">
        <f aca="false">IF($C$10=0,0,IF(R$17&lt;$B$10,0,MAX(0,MIN(R$19,$C$10-SUM($B23:Q23)))))</f>
        <v>0</v>
      </c>
      <c r="S23" s="65" t="n">
        <f aca="false">IF($C$10=0,0,IF(S$17&lt;$B$10,0,MAX(0,MIN(S$19,$C$10-SUM($B23:R23)))))</f>
        <v>0</v>
      </c>
      <c r="T23" s="65" t="n">
        <f aca="false">IF($C$10=0,0,IF(T$17&lt;$B$10,0,MAX(0,MIN(T$19,$C$10-SUM($B23:S23)))))</f>
        <v>0</v>
      </c>
      <c r="U23" s="65" t="n">
        <f aca="false">IF($C$10=0,0,IF(U$17&lt;$B$10,0,MAX(0,MIN(U$19,$C$10-SUM($B23:T23)))))</f>
        <v>0</v>
      </c>
      <c r="V23" s="65" t="n">
        <f aca="false">IF($C$10=0,0,IF(V$17&lt;$B$10,0,MAX(0,MIN(V$19,$C$10-SUM($B23:U23)))))</f>
        <v>0</v>
      </c>
      <c r="W23" s="65" t="n">
        <f aca="false">IF($C$10=0,0,IF(W$17&lt;$B$10,0,MAX(0,MIN(W$19,$C$10-SUM($B23:V23)))))</f>
        <v>0</v>
      </c>
      <c r="X23" s="65" t="n">
        <f aca="false">IF($C$10=0,0,IF(X$17&lt;$B$10,0,MAX(0,MIN(X$19,$C$10-SUM($B23:W23)))))</f>
        <v>0</v>
      </c>
      <c r="Y23" s="65" t="n">
        <f aca="false">IF($C$10=0,0,IF(Y$17&lt;$B$10,0,MAX(0,MIN(Y$19,$C$10-SUM($B23:X23)))))</f>
        <v>0</v>
      </c>
      <c r="Z23" s="65" t="n">
        <f aca="false">IF($C$10=0,0,IF(Z$17&lt;$B$10,0,MAX(0,MIN(Z$19,$C$10-SUM($B23:Y23)))))</f>
        <v>0</v>
      </c>
      <c r="AA23" s="65" t="n">
        <f aca="false">IF($C$10=0,0,IF(AA$17&lt;$B$10,0,MAX(0,MIN(AA$19,$C$10-SUM($B23:Z23)))))</f>
        <v>0</v>
      </c>
      <c r="AB23" s="65" t="n">
        <f aca="false">IF($C$10=0,0,IF(AB$17&lt;$B$10,0,MAX(0,MIN(AB$19,$C$10-SUM($B23:AA23)))))</f>
        <v>0</v>
      </c>
      <c r="AC23" s="65" t="n">
        <f aca="false">IF($C$10=0,0,IF(AC$17&lt;$B$10,0,MAX(0,MIN(AC$19,$C$10-SUM($B23:AB23)))))</f>
        <v>0</v>
      </c>
      <c r="AD23" s="65" t="n">
        <f aca="false">IF($C$10=0,0,IF(AD$17&lt;$B$10,0,MAX(0,MIN(AD$19,$C$10-SUM($B23:AC23)))))</f>
        <v>0</v>
      </c>
      <c r="AE23" s="65" t="n">
        <f aca="false">IF($C$10=0,0,IF(AE$17&lt;$B$10,0,MAX(0,MIN(AE$19,$C$10-SUM($B23:AD23)))))</f>
        <v>0</v>
      </c>
      <c r="AF23" s="65" t="n">
        <f aca="false">IF($C$10=0,0,IF(AF$17&lt;$B$10,0,MAX(0,MIN(AF$19,$C$10-SUM($B23:AE23)))))</f>
        <v>0</v>
      </c>
      <c r="AG23" s="65" t="n">
        <f aca="false">IF($C$10=0,0,IF(AG$17&lt;$B$10,0,MAX(0,MIN(AG$19,$C$10-SUM($B23:AF23)))))</f>
        <v>0</v>
      </c>
      <c r="AH23" s="65" t="n">
        <f aca="false">IF($C$10=0,0,IF(AH$17&lt;$B$10,0,MAX(0,MIN(AH$19,$C$10-SUM($B23:AG23)))))</f>
        <v>0</v>
      </c>
      <c r="AI23" s="65" t="n">
        <f aca="false">IF($C$10=0,0,IF(AI$17&lt;$B$10,0,MAX(0,MIN(AI$19,$C$10-SUM($B23:AH23)))))</f>
        <v>0</v>
      </c>
      <c r="AJ23" s="65" t="n">
        <f aca="false">IF($C$10=0,0,IF(AJ$17&lt;$B$10,0,MAX(0,MIN(AJ$19,$C$10-SUM($B23:AI23)))))</f>
        <v>0</v>
      </c>
      <c r="AK23" s="65" t="n">
        <f aca="false">IF($C$10=0,0,IF(AK$17&lt;$B$10,0,MAX(0,MIN(AK$19,$C$10-SUM($B23:AJ23)))))</f>
        <v>0</v>
      </c>
      <c r="AL23" s="65" t="n">
        <f aca="false">IF($C$10=0,0,IF(AL$17&lt;$B$10,0,MAX(0,MIN(AL$19,$C$10-SUM($B23:AK23)))))</f>
        <v>0</v>
      </c>
      <c r="AM23" s="65" t="n">
        <f aca="false">IF($C$10=0,0,IF(AM$17&lt;$B$10,0,MAX(0,MIN(AM$19,$C$10-SUM($B23:AL23)))))</f>
        <v>0</v>
      </c>
      <c r="AN23" s="65" t="n">
        <f aca="false">IF($C$10=0,0,IF(AN$17&lt;$B$10,0,MAX(0,MIN(AN$19,$C$10-SUM($B23:AM23)))))</f>
        <v>0</v>
      </c>
      <c r="AO23" s="65" t="n">
        <f aca="false">IF($C$10=0,0,IF(AO$17&lt;$B$10,0,MAX(0,MIN(AO$19,$C$10-SUM($B23:AN23)))))</f>
        <v>0</v>
      </c>
      <c r="AP23" s="65" t="n">
        <f aca="false">IF($C$10=0,0,IF(AP$17&lt;$B$10,0,MAX(0,MIN(AP$19,$C$10-SUM($B23:AO23)))))</f>
        <v>0</v>
      </c>
      <c r="AQ23" s="65" t="n">
        <f aca="false">IF($C$10=0,0,IF(AQ$17&lt;$B$10,0,MAX(0,MIN(AQ$19,$C$10-SUM($B23:AP23)))))</f>
        <v>0</v>
      </c>
      <c r="AR23" s="65" t="n">
        <f aca="false">IF($C$10=0,0,IF(AR$17&lt;$B$10,0,MAX(0,MIN(AR$19,$C$10-SUM($B23:AQ23)))))</f>
        <v>0</v>
      </c>
      <c r="AS23" s="65" t="n">
        <f aca="false">IF($C$10=0,0,IF(AS$17&lt;$B$10,0,MAX(0,MIN(AS$19,$C$10-SUM($B23:AR23)))))</f>
        <v>0</v>
      </c>
      <c r="AT23" s="65" t="n">
        <f aca="false">IF($C$10=0,0,IF(AT$17&lt;$B$10,0,MAX(0,MIN(AT$19,$C$10-SUM($B23:AS23)))))</f>
        <v>0</v>
      </c>
      <c r="AU23" s="65" t="n">
        <f aca="false">IF($C$10=0,0,IF(AU$17&lt;$B$10,0,MAX(0,MIN(AU$19,$C$10-SUM($B23:AT23)))))</f>
        <v>0</v>
      </c>
      <c r="AV23" s="65" t="n">
        <f aca="false">IF($C$10=0,0,IF(AV$17&lt;$B$10,0,MAX(0,MIN(AV$19,$C$10-SUM($B23:AU23)))))</f>
        <v>0</v>
      </c>
      <c r="AW23" s="65" t="n">
        <f aca="false">IF($C$10=0,0,IF(AW$17&lt;$B$10,0,MAX(0,MIN(AW$19,$C$10-SUM($B23:AV23)))))</f>
        <v>0</v>
      </c>
      <c r="AX23" s="65" t="n">
        <f aca="false">IF($C$10=0,0,IF(AX$17&lt;$B$10,0,MAX(0,MIN(AX$19,$C$10-SUM($B23:AW23)))))</f>
        <v>0</v>
      </c>
      <c r="AY23" s="65" t="n">
        <f aca="false">IF($C$10=0,0,IF(AY$17&lt;$B$10,0,MAX(0,MIN(AY$19,$C$10-SUM($B23:AX23)))))</f>
        <v>0</v>
      </c>
      <c r="AZ23" s="65" t="n">
        <f aca="false">IF($C$10=0,0,IF(AZ$17&lt;$B$10,0,MAX(0,MIN(AZ$19,$C$10-SUM($B23:AY23)))))</f>
        <v>0</v>
      </c>
      <c r="BA23" s="65" t="n">
        <f aca="false">IF($C$10=0,0,IF(BA$17&lt;$B$10,0,MAX(0,MIN(BA$19,$C$10-SUM($B23:AZ23)))))</f>
        <v>0</v>
      </c>
      <c r="BB23" s="65" t="n">
        <f aca="false">IF($C$10=0,0,IF(BB$17&lt;$B$10,0,MAX(0,MIN(BB$19,$C$10-SUM($B23:BA23)))))</f>
        <v>0</v>
      </c>
      <c r="BC23" s="65" t="n">
        <f aca="false">IF($C$10=0,0,IF(BC$17&lt;$B$10,0,MAX(0,MIN(BC$19,$C$10-SUM($B23:BB23)))))</f>
        <v>0</v>
      </c>
      <c r="BD23" s="65" t="n">
        <f aca="false">IF($C$10=0,0,IF(BD$17&lt;$B$10,0,MAX(0,MIN(BD$19,$C$10-SUM($B23:BC23)))))</f>
        <v>0</v>
      </c>
      <c r="BE23" s="65" t="n">
        <f aca="false">IF($C$10=0,0,IF(BE$17&lt;$B$10,0,MAX(0,MIN(BE$19,$C$10-SUM($B23:BD23)))))</f>
        <v>0</v>
      </c>
      <c r="BF23" s="65" t="n">
        <f aca="false">IF($C$10=0,0,IF(BF$17&lt;$B$10,0,MAX(0,MIN(BF$19,$C$10-SUM($B23:BE23)))))</f>
        <v>0</v>
      </c>
      <c r="BG23" s="65" t="n">
        <f aca="false">IF($C$10=0,0,IF(BG$17&lt;$B$10,0,MAX(0,MIN(BG$19,$C$10-SUM($B23:BF23)))))</f>
        <v>0</v>
      </c>
      <c r="BH23" s="65" t="n">
        <f aca="false">IF($C$10=0,0,IF(BH$17&lt;$B$10,0,MAX(0,MIN(BH$19,$C$10-SUM($B23:BG23)))))</f>
        <v>0</v>
      </c>
      <c r="BI23" s="65" t="n">
        <f aca="false">IF($C$10=0,0,IF(BI$17&lt;$B$10,0,MAX(0,MIN(BI$19,$C$10-SUM($B23:BH23)))))</f>
        <v>0</v>
      </c>
      <c r="BJ23" s="65" t="n">
        <f aca="false">IF($C$10=0,0,IF(BJ$17&lt;$B$10,0,MAX(0,MIN(BJ$19,$C$10-SUM($B23:BI23)))))</f>
        <v>0</v>
      </c>
      <c r="BK23" s="65" t="n">
        <f aca="false">IF($C$10=0,0,IF(BK$17&lt;$B$10,0,MAX(0,MIN(BK$19,$C$10-SUM($B23:BJ23)))))</f>
        <v>0</v>
      </c>
      <c r="BL23" s="65" t="n">
        <f aca="false">IF($C$10=0,0,IF(BL$17&lt;$B$10,0,MAX(0,MIN(BL$19,$C$10-SUM($B23:BK23)))))</f>
        <v>0</v>
      </c>
      <c r="BM23" s="65" t="n">
        <f aca="false">IF($C$10=0,0,IF(BM$17&lt;$B$10,0,MAX(0,MIN(BM$19,$C$10-SUM($B23:BL23)))))</f>
        <v>0</v>
      </c>
      <c r="BN23" s="65" t="n">
        <f aca="false">IF($C$10=0,0,IF(BN$17&lt;$B$10,0,MAX(0,MIN(BN$19,$C$10-SUM($B23:BM23)))))</f>
        <v>0</v>
      </c>
      <c r="BO23" s="65" t="n">
        <f aca="false">IF($C$10=0,0,IF(BO$17&lt;$B$10,0,MAX(0,MIN(BO$19,$C$10-SUM($B23:BN23)))))</f>
        <v>0</v>
      </c>
      <c r="BP23" s="65" t="n">
        <f aca="false">IF($C$10=0,0,IF(BP$17&lt;$B$10,0,MAX(0,MIN(BP$19,$C$10-SUM($B23:BO23)))))</f>
        <v>0</v>
      </c>
      <c r="BQ23" s="65" t="n">
        <f aca="false">IF($C$10=0,0,IF(BQ$17&lt;$B$10,0,MAX(0,MIN(BQ$19,$C$10-SUM($B23:BP23)))))</f>
        <v>0</v>
      </c>
      <c r="BR23" s="65" t="n">
        <f aca="false">IF($C$10=0,0,IF(BR$17&lt;$B$10,0,MAX(0,MIN(BR$19,$C$10-SUM($B23:BQ23)))))</f>
        <v>0</v>
      </c>
      <c r="BS23" s="65" t="n">
        <f aca="false">IF($C$10=0,0,IF(BS$17&lt;$B$10,0,MAX(0,MIN(BS$19,$C$10-SUM($B23:BR23)))))</f>
        <v>0</v>
      </c>
      <c r="BT23" s="65" t="n">
        <f aca="false">IF($C$10=0,0,IF(BT$17&lt;$B$10,0,MAX(0,MIN(BT$19,$C$10-SUM($B23:BS23)))))</f>
        <v>0</v>
      </c>
      <c r="BU23" s="65" t="n">
        <f aca="false">IF($C$10=0,0,IF(BU$17&lt;$B$10,0,MAX(0,MIN(BU$19,$C$10-SUM($B23:BT23)))))</f>
        <v>0</v>
      </c>
      <c r="BV23" s="65" t="n">
        <f aca="false">IF($C$10=0,0,IF(BV$17&lt;$B$10,0,MAX(0,MIN(BV$19,$C$10-SUM($B23:BU23)))))</f>
        <v>0</v>
      </c>
      <c r="BW23" s="65" t="n">
        <f aca="false">IF($C$10=0,0,IF(BW$17&lt;$B$10,0,MAX(0,MIN(BW$19,$C$10-SUM($B23:BV23)))))</f>
        <v>0</v>
      </c>
      <c r="BX23" s="65" t="n">
        <f aca="false">IF($C$10=0,0,IF(BX$17&lt;$B$10,0,MAX(0,MIN(BX$19,$C$10-SUM($B23:BW23)))))</f>
        <v>0</v>
      </c>
      <c r="BY23" s="65" t="n">
        <f aca="false">IF($C$10=0,0,IF(BY$17&lt;$B$10,0,MAX(0,MIN(BY$19,$C$10-SUM($B23:BX23)))))</f>
        <v>0</v>
      </c>
      <c r="BZ23" s="65" t="n">
        <f aca="false">IF($C$10=0,0,IF(BZ$17&lt;$B$10,0,MAX(0,MIN(BZ$19,$C$10-SUM($B23:BY23)))))</f>
        <v>0</v>
      </c>
      <c r="CA23" s="65" t="n">
        <f aca="false">IF($C$10=0,0,IF(CA$17&lt;$B$10,0,MAX(0,MIN(CA$19,$C$10-SUM($B23:BZ23)))))</f>
        <v>0</v>
      </c>
      <c r="CB23" s="65" t="n">
        <f aca="false">IF($C$10=0,0,IF(CB$17&lt;$B$10,0,MAX(0,MIN(CB$19,$C$10-SUM($B23:CA23)))))</f>
        <v>0</v>
      </c>
      <c r="CC23" s="65" t="n">
        <f aca="false">IF($C$10=0,0,IF(CC$17&lt;$B$10,0,MAX(0,MIN(CC$19,$C$10-SUM($B23:CB23)))))</f>
        <v>0</v>
      </c>
      <c r="CD23" s="65" t="n">
        <f aca="false">IF($C$10=0,0,IF(CD$17&lt;$B$10,0,MAX(0,MIN(CD$19,$C$10-SUM($B23:CC23)))))</f>
        <v>0</v>
      </c>
      <c r="CE23" s="65" t="n">
        <f aca="false">IF($C$10=0,0,IF(CE$17&lt;$B$10,0,MAX(0,MIN(CE$19,$C$10-SUM($B23:CD23)))))</f>
        <v>0</v>
      </c>
      <c r="CF23" s="65" t="n">
        <f aca="false">IF($C$10=0,0,IF(CF$17&lt;$B$10,0,MAX(0,MIN(CF$19,$C$10-SUM($B23:CE23)))))</f>
        <v>0</v>
      </c>
      <c r="CG23" s="65" t="n">
        <f aca="false">IF($C$10=0,0,IF(CG$17&lt;$B$10,0,MAX(0,MIN(CG$19,$C$10-SUM($B23:CF23)))))</f>
        <v>0</v>
      </c>
      <c r="CH23" s="65" t="n">
        <f aca="false">IF($C$10=0,0,IF(CH$17&lt;$B$10,0,MAX(0,MIN(CH$19,$C$10-SUM($B23:CG23)))))</f>
        <v>0</v>
      </c>
      <c r="CI23" s="65" t="n">
        <f aca="false">IF($C$10=0,0,IF(CI$17&lt;$B$10,0,MAX(0,MIN(CI$19,$C$10-SUM($B23:CH23)))))</f>
        <v>0</v>
      </c>
      <c r="CJ23" s="65" t="n">
        <f aca="false">IF($C$10=0,0,IF(CJ$17&lt;$B$10,0,MAX(0,MIN(CJ$19,$C$10-SUM($B23:CI23)))))</f>
        <v>0</v>
      </c>
      <c r="CK23" s="65" t="n">
        <f aca="false">IF($C$10=0,0,IF(CK$17&lt;$B$10,0,MAX(0,MIN(CK$19,$C$10-SUM($B23:CJ23)))))</f>
        <v>0</v>
      </c>
      <c r="CL23" s="65" t="n">
        <f aca="false">IF($C$10=0,0,IF(CL$17&lt;$B$10,0,MAX(0,MIN(CL$19,$C$10-SUM($B23:CK23)))))</f>
        <v>0</v>
      </c>
      <c r="CM23" s="65" t="n">
        <f aca="false">IF($C$10=0,0,IF(CM$17&lt;$B$10,0,MAX(0,MIN(CM$19,$C$10-SUM($B23:CL23)))))</f>
        <v>0</v>
      </c>
      <c r="CN23" s="65" t="n">
        <f aca="false">IF($C$10=0,0,IF(CN$17&lt;$B$10,0,MAX(0,MIN(CN$19,$C$10-SUM($B23:CM23)))))</f>
        <v>0</v>
      </c>
    </row>
    <row r="24" customFormat="false" ht="15.75" hidden="false" customHeight="true" outlineLevel="0" collapsed="false">
      <c r="A24" s="64" t="str">
        <f aca="false">A11</f>
        <v/>
      </c>
      <c r="B24" s="62" t="n">
        <v>0</v>
      </c>
      <c r="C24" s="65" t="n">
        <f aca="false">IF($C$11=0,0,IF(C$17&lt;$B$11,0,MAX(0,MIN(C$19,$C$11-SUM($B24:B24)))))</f>
        <v>0</v>
      </c>
      <c r="D24" s="65" t="n">
        <f aca="false">IF($C$11=0,0,IF(D$17&lt;$B$11,0,MAX(0,MIN(D$19,$C$11-SUM($B24:C24)))))</f>
        <v>0</v>
      </c>
      <c r="E24" s="65" t="n">
        <f aca="false">IF($C$11=0,0,IF(E$17&lt;$B$11,0,MAX(0,MIN(E$19,$C$11-SUM($B24:D24)))))</f>
        <v>0</v>
      </c>
      <c r="F24" s="65" t="n">
        <f aca="false">IF($C$11=0,0,IF(F$17&lt;$B$11,0,MAX(0,MIN(F$19,$C$11-SUM($B24:E24)))))</f>
        <v>0</v>
      </c>
      <c r="G24" s="65" t="n">
        <f aca="false">IF($C$11=0,0,IF(G$17&lt;$B$11,0,MAX(0,MIN(G$19,$C$11-SUM($B24:F24)))))</f>
        <v>0</v>
      </c>
      <c r="H24" s="65" t="n">
        <f aca="false">IF($C$11=0,0,IF(H$17&lt;$B$11,0,MAX(0,MIN(H$19,$C$11-SUM($B24:G24)))))</f>
        <v>0</v>
      </c>
      <c r="I24" s="65" t="n">
        <f aca="false">IF($C$11=0,0,IF(I$17&lt;$B$11,0,MAX(0,MIN(I$19,$C$11-SUM($B24:H24)))))</f>
        <v>0</v>
      </c>
      <c r="J24" s="65" t="n">
        <f aca="false">IF($C$11=0,0,IF(J$17&lt;$B$11,0,MAX(0,MIN(J$19,$C$11-SUM($B24:I24)))))</f>
        <v>0</v>
      </c>
      <c r="K24" s="65" t="n">
        <f aca="false">IF($C$11=0,0,IF(K$17&lt;$B$11,0,MAX(0,MIN(K$19,$C$11-SUM($B24:J24)))))</f>
        <v>0</v>
      </c>
      <c r="L24" s="65" t="n">
        <f aca="false">IF($C$11=0,0,IF(L$17&lt;$B$11,0,MAX(0,MIN(L$19,$C$11-SUM($B24:K24)))))</f>
        <v>0</v>
      </c>
      <c r="M24" s="65" t="n">
        <f aca="false">IF($C$11=0,0,IF(M$17&lt;$B$11,0,MAX(0,MIN(M$19,$C$11-SUM($B24:L24)))))</f>
        <v>0</v>
      </c>
      <c r="N24" s="65" t="n">
        <f aca="false">IF($C$11=0,0,IF(N$17&lt;$B$11,0,MAX(0,MIN(N$19,$C$11-SUM($B24:M24)))))</f>
        <v>0</v>
      </c>
      <c r="O24" s="65" t="n">
        <f aca="false">IF($C$11=0,0,IF(O$17&lt;$B$11,0,MAX(0,MIN(O$19,$C$11-SUM($B24:N24)))))</f>
        <v>0</v>
      </c>
      <c r="P24" s="65" t="n">
        <f aca="false">IF($C$11=0,0,IF(P$17&lt;$B$11,0,MAX(0,MIN(P$19,$C$11-SUM($B24:O24)))))</f>
        <v>0</v>
      </c>
      <c r="Q24" s="65" t="n">
        <f aca="false">IF($C$11=0,0,IF(Q$17&lt;$B$11,0,MAX(0,MIN(Q$19,$C$11-SUM($B24:P24)))))</f>
        <v>0</v>
      </c>
      <c r="R24" s="65" t="n">
        <f aca="false">IF($C$11=0,0,IF(R$17&lt;$B$11,0,MAX(0,MIN(R$19,$C$11-SUM($B24:Q24)))))</f>
        <v>0</v>
      </c>
      <c r="S24" s="65" t="n">
        <f aca="false">IF($C$11=0,0,IF(S$17&lt;$B$11,0,MAX(0,MIN(S$19,$C$11-SUM($B24:R24)))))</f>
        <v>0</v>
      </c>
      <c r="T24" s="65" t="n">
        <f aca="false">IF($C$11=0,0,IF(T$17&lt;$B$11,0,MAX(0,MIN(T$19,$C$11-SUM($B24:S24)))))</f>
        <v>0</v>
      </c>
      <c r="U24" s="65" t="n">
        <f aca="false">IF($C$11=0,0,IF(U$17&lt;$B$11,0,MAX(0,MIN(U$19,$C$11-SUM($B24:T24)))))</f>
        <v>0</v>
      </c>
      <c r="V24" s="65" t="n">
        <f aca="false">IF($C$11=0,0,IF(V$17&lt;$B$11,0,MAX(0,MIN(V$19,$C$11-SUM($B24:U24)))))</f>
        <v>0</v>
      </c>
      <c r="W24" s="65" t="n">
        <f aca="false">IF($C$11=0,0,IF(W$17&lt;$B$11,0,MAX(0,MIN(W$19,$C$11-SUM($B24:V24)))))</f>
        <v>0</v>
      </c>
      <c r="X24" s="65" t="n">
        <f aca="false">IF($C$11=0,0,IF(X$17&lt;$B$11,0,MAX(0,MIN(X$19,$C$11-SUM($B24:W24)))))</f>
        <v>0</v>
      </c>
      <c r="Y24" s="65" t="n">
        <f aca="false">IF($C$11=0,0,IF(Y$17&lt;$B$11,0,MAX(0,MIN(Y$19,$C$11-SUM($B24:X24)))))</f>
        <v>0</v>
      </c>
      <c r="Z24" s="65" t="n">
        <f aca="false">IF($C$11=0,0,IF(Z$17&lt;$B$11,0,MAX(0,MIN(Z$19,$C$11-SUM($B24:Y24)))))</f>
        <v>0</v>
      </c>
      <c r="AA24" s="65" t="n">
        <f aca="false">IF($C$11=0,0,IF(AA$17&lt;$B$11,0,MAX(0,MIN(AA$19,$C$11-SUM($B24:Z24)))))</f>
        <v>0</v>
      </c>
      <c r="AB24" s="65" t="n">
        <f aca="false">IF($C$11=0,0,IF(AB$17&lt;$B$11,0,MAX(0,MIN(AB$19,$C$11-SUM($B24:AA24)))))</f>
        <v>0</v>
      </c>
      <c r="AC24" s="65" t="n">
        <f aca="false">IF($C$11=0,0,IF(AC$17&lt;$B$11,0,MAX(0,MIN(AC$19,$C$11-SUM($B24:AB24)))))</f>
        <v>0</v>
      </c>
      <c r="AD24" s="65" t="n">
        <f aca="false">IF($C$11=0,0,IF(AD$17&lt;$B$11,0,MAX(0,MIN(AD$19,$C$11-SUM($B24:AC24)))))</f>
        <v>0</v>
      </c>
      <c r="AE24" s="65" t="n">
        <f aca="false">IF($C$11=0,0,IF(AE$17&lt;$B$11,0,MAX(0,MIN(AE$19,$C$11-SUM($B24:AD24)))))</f>
        <v>0</v>
      </c>
      <c r="AF24" s="65" t="n">
        <f aca="false">IF($C$11=0,0,IF(AF$17&lt;$B$11,0,MAX(0,MIN(AF$19,$C$11-SUM($B24:AE24)))))</f>
        <v>0</v>
      </c>
      <c r="AG24" s="65" t="n">
        <f aca="false">IF($C$11=0,0,IF(AG$17&lt;$B$11,0,MAX(0,MIN(AG$19,$C$11-SUM($B24:AF24)))))</f>
        <v>0</v>
      </c>
      <c r="AH24" s="65" t="n">
        <f aca="false">IF($C$11=0,0,IF(AH$17&lt;$B$11,0,MAX(0,MIN(AH$19,$C$11-SUM($B24:AG24)))))</f>
        <v>0</v>
      </c>
      <c r="AI24" s="65" t="n">
        <f aca="false">IF($C$11=0,0,IF(AI$17&lt;$B$11,0,MAX(0,MIN(AI$19,$C$11-SUM($B24:AH24)))))</f>
        <v>0</v>
      </c>
      <c r="AJ24" s="65" t="n">
        <f aca="false">IF($C$11=0,0,IF(AJ$17&lt;$B$11,0,MAX(0,MIN(AJ$19,$C$11-SUM($B24:AI24)))))</f>
        <v>0</v>
      </c>
      <c r="AK24" s="65" t="n">
        <f aca="false">IF($C$11=0,0,IF(AK$17&lt;$B$11,0,MAX(0,MIN(AK$19,$C$11-SUM($B24:AJ24)))))</f>
        <v>0</v>
      </c>
      <c r="AL24" s="65" t="n">
        <f aca="false">IF($C$11=0,0,IF(AL$17&lt;$B$11,0,MAX(0,MIN(AL$19,$C$11-SUM($B24:AK24)))))</f>
        <v>0</v>
      </c>
      <c r="AM24" s="65" t="n">
        <f aca="false">IF($C$11=0,0,IF(AM$17&lt;$B$11,0,MAX(0,MIN(AM$19,$C$11-SUM($B24:AL24)))))</f>
        <v>0</v>
      </c>
      <c r="AN24" s="65" t="n">
        <f aca="false">IF($C$11=0,0,IF(AN$17&lt;$B$11,0,MAX(0,MIN(AN$19,$C$11-SUM($B24:AM24)))))</f>
        <v>0</v>
      </c>
      <c r="AO24" s="65" t="n">
        <f aca="false">IF($C$11=0,0,IF(AO$17&lt;$B$11,0,MAX(0,MIN(AO$19,$C$11-SUM($B24:AN24)))))</f>
        <v>0</v>
      </c>
      <c r="AP24" s="65" t="n">
        <f aca="false">IF($C$11=0,0,IF(AP$17&lt;$B$11,0,MAX(0,MIN(AP$19,$C$11-SUM($B24:AO24)))))</f>
        <v>0</v>
      </c>
      <c r="AQ24" s="65" t="n">
        <f aca="false">IF($C$11=0,0,IF(AQ$17&lt;$B$11,0,MAX(0,MIN(AQ$19,$C$11-SUM($B24:AP24)))))</f>
        <v>0</v>
      </c>
      <c r="AR24" s="65" t="n">
        <f aca="false">IF($C$11=0,0,IF(AR$17&lt;$B$11,0,MAX(0,MIN(AR$19,$C$11-SUM($B24:AQ24)))))</f>
        <v>0</v>
      </c>
      <c r="AS24" s="65" t="n">
        <f aca="false">IF($C$11=0,0,IF(AS$17&lt;$B$11,0,MAX(0,MIN(AS$19,$C$11-SUM($B24:AR24)))))</f>
        <v>0</v>
      </c>
      <c r="AT24" s="65" t="n">
        <f aca="false">IF($C$11=0,0,IF(AT$17&lt;$B$11,0,MAX(0,MIN(AT$19,$C$11-SUM($B24:AS24)))))</f>
        <v>0</v>
      </c>
      <c r="AU24" s="65" t="n">
        <f aca="false">IF($C$11=0,0,IF(AU$17&lt;$B$11,0,MAX(0,MIN(AU$19,$C$11-SUM($B24:AT24)))))</f>
        <v>0</v>
      </c>
      <c r="AV24" s="65" t="n">
        <f aca="false">IF($C$11=0,0,IF(AV$17&lt;$B$11,0,MAX(0,MIN(AV$19,$C$11-SUM($B24:AU24)))))</f>
        <v>0</v>
      </c>
      <c r="AW24" s="65" t="n">
        <f aca="false">IF($C$11=0,0,IF(AW$17&lt;$B$11,0,MAX(0,MIN(AW$19,$C$11-SUM($B24:AV24)))))</f>
        <v>0</v>
      </c>
      <c r="AX24" s="65" t="n">
        <f aca="false">IF($C$11=0,0,IF(AX$17&lt;$B$11,0,MAX(0,MIN(AX$19,$C$11-SUM($B24:AW24)))))</f>
        <v>0</v>
      </c>
      <c r="AY24" s="65" t="n">
        <f aca="false">IF($C$11=0,0,IF(AY$17&lt;$B$11,0,MAX(0,MIN(AY$19,$C$11-SUM($B24:AX24)))))</f>
        <v>0</v>
      </c>
      <c r="AZ24" s="65" t="n">
        <f aca="false">IF($C$11=0,0,IF(AZ$17&lt;$B$11,0,MAX(0,MIN(AZ$19,$C$11-SUM($B24:AY24)))))</f>
        <v>0</v>
      </c>
      <c r="BA24" s="65" t="n">
        <f aca="false">IF($C$11=0,0,IF(BA$17&lt;$B$11,0,MAX(0,MIN(BA$19,$C$11-SUM($B24:AZ24)))))</f>
        <v>0</v>
      </c>
      <c r="BB24" s="65" t="n">
        <f aca="false">IF($C$11=0,0,IF(BB$17&lt;$B$11,0,MAX(0,MIN(BB$19,$C$11-SUM($B24:BA24)))))</f>
        <v>0</v>
      </c>
      <c r="BC24" s="65" t="n">
        <f aca="false">IF($C$11=0,0,IF(BC$17&lt;$B$11,0,MAX(0,MIN(BC$19,$C$11-SUM($B24:BB24)))))</f>
        <v>0</v>
      </c>
      <c r="BD24" s="65" t="n">
        <f aca="false">IF($C$11=0,0,IF(BD$17&lt;$B$11,0,MAX(0,MIN(BD$19,$C$11-SUM($B24:BC24)))))</f>
        <v>0</v>
      </c>
      <c r="BE24" s="65" t="n">
        <f aca="false">IF($C$11=0,0,IF(BE$17&lt;$B$11,0,MAX(0,MIN(BE$19,$C$11-SUM($B24:BD24)))))</f>
        <v>0</v>
      </c>
      <c r="BF24" s="65" t="n">
        <f aca="false">IF($C$11=0,0,IF(BF$17&lt;$B$11,0,MAX(0,MIN(BF$19,$C$11-SUM($B24:BE24)))))</f>
        <v>0</v>
      </c>
      <c r="BG24" s="65" t="n">
        <f aca="false">IF($C$11=0,0,IF(BG$17&lt;$B$11,0,MAX(0,MIN(BG$19,$C$11-SUM($B24:BF24)))))</f>
        <v>0</v>
      </c>
      <c r="BH24" s="65" t="n">
        <f aca="false">IF($C$11=0,0,IF(BH$17&lt;$B$11,0,MAX(0,MIN(BH$19,$C$11-SUM($B24:BG24)))))</f>
        <v>0</v>
      </c>
      <c r="BI24" s="65" t="n">
        <f aca="false">IF($C$11=0,0,IF(BI$17&lt;$B$11,0,MAX(0,MIN(BI$19,$C$11-SUM($B24:BH24)))))</f>
        <v>0</v>
      </c>
      <c r="BJ24" s="65" t="n">
        <f aca="false">IF($C$11=0,0,IF(BJ$17&lt;$B$11,0,MAX(0,MIN(BJ$19,$C$11-SUM($B24:BI24)))))</f>
        <v>0</v>
      </c>
      <c r="BK24" s="65" t="n">
        <f aca="false">IF($C$11=0,0,IF(BK$17&lt;$B$11,0,MAX(0,MIN(BK$19,$C$11-SUM($B24:BJ24)))))</f>
        <v>0</v>
      </c>
      <c r="BL24" s="65" t="n">
        <f aca="false">IF($C$11=0,0,IF(BL$17&lt;$B$11,0,MAX(0,MIN(BL$19,$C$11-SUM($B24:BK24)))))</f>
        <v>0</v>
      </c>
      <c r="BM24" s="65" t="n">
        <f aca="false">IF($C$11=0,0,IF(BM$17&lt;$B$11,0,MAX(0,MIN(BM$19,$C$11-SUM($B24:BL24)))))</f>
        <v>0</v>
      </c>
      <c r="BN24" s="65" t="n">
        <f aca="false">IF($C$11=0,0,IF(BN$17&lt;$B$11,0,MAX(0,MIN(BN$19,$C$11-SUM($B24:BM24)))))</f>
        <v>0</v>
      </c>
      <c r="BO24" s="65" t="n">
        <f aca="false">IF($C$11=0,0,IF(BO$17&lt;$B$11,0,MAX(0,MIN(BO$19,$C$11-SUM($B24:BN24)))))</f>
        <v>0</v>
      </c>
      <c r="BP24" s="65" t="n">
        <f aca="false">IF($C$11=0,0,IF(BP$17&lt;$B$11,0,MAX(0,MIN(BP$19,$C$11-SUM($B24:BO24)))))</f>
        <v>0</v>
      </c>
      <c r="BQ24" s="65" t="n">
        <f aca="false">IF($C$11=0,0,IF(BQ$17&lt;$B$11,0,MAX(0,MIN(BQ$19,$C$11-SUM($B24:BP24)))))</f>
        <v>0</v>
      </c>
      <c r="BR24" s="65" t="n">
        <f aca="false">IF($C$11=0,0,IF(BR$17&lt;$B$11,0,MAX(0,MIN(BR$19,$C$11-SUM($B24:BQ24)))))</f>
        <v>0</v>
      </c>
      <c r="BS24" s="65" t="n">
        <f aca="false">IF($C$11=0,0,IF(BS$17&lt;$B$11,0,MAX(0,MIN(BS$19,$C$11-SUM($B24:BR24)))))</f>
        <v>0</v>
      </c>
      <c r="BT24" s="65" t="n">
        <f aca="false">IF($C$11=0,0,IF(BT$17&lt;$B$11,0,MAX(0,MIN(BT$19,$C$11-SUM($B24:BS24)))))</f>
        <v>0</v>
      </c>
      <c r="BU24" s="65" t="n">
        <f aca="false">IF($C$11=0,0,IF(BU$17&lt;$B$11,0,MAX(0,MIN(BU$19,$C$11-SUM($B24:BT24)))))</f>
        <v>0</v>
      </c>
      <c r="BV24" s="65" t="n">
        <f aca="false">IF($C$11=0,0,IF(BV$17&lt;$B$11,0,MAX(0,MIN(BV$19,$C$11-SUM($B24:BU24)))))</f>
        <v>0</v>
      </c>
      <c r="BW24" s="65" t="n">
        <f aca="false">IF($C$11=0,0,IF(BW$17&lt;$B$11,0,MAX(0,MIN(BW$19,$C$11-SUM($B24:BV24)))))</f>
        <v>0</v>
      </c>
      <c r="BX24" s="65" t="n">
        <f aca="false">IF($C$11=0,0,IF(BX$17&lt;$B$11,0,MAX(0,MIN(BX$19,$C$11-SUM($B24:BW24)))))</f>
        <v>0</v>
      </c>
      <c r="BY24" s="65" t="n">
        <f aca="false">IF($C$11=0,0,IF(BY$17&lt;$B$11,0,MAX(0,MIN(BY$19,$C$11-SUM($B24:BX24)))))</f>
        <v>0</v>
      </c>
      <c r="BZ24" s="65" t="n">
        <f aca="false">IF($C$11=0,0,IF(BZ$17&lt;$B$11,0,MAX(0,MIN(BZ$19,$C$11-SUM($B24:BY24)))))</f>
        <v>0</v>
      </c>
      <c r="CA24" s="65" t="n">
        <f aca="false">IF($C$11=0,0,IF(CA$17&lt;$B$11,0,MAX(0,MIN(CA$19,$C$11-SUM($B24:BZ24)))))</f>
        <v>0</v>
      </c>
      <c r="CB24" s="65" t="n">
        <f aca="false">IF($C$11=0,0,IF(CB$17&lt;$B$11,0,MAX(0,MIN(CB$19,$C$11-SUM($B24:CA24)))))</f>
        <v>0</v>
      </c>
      <c r="CC24" s="65" t="n">
        <f aca="false">IF($C$11=0,0,IF(CC$17&lt;$B$11,0,MAX(0,MIN(CC$19,$C$11-SUM($B24:CB24)))))</f>
        <v>0</v>
      </c>
      <c r="CD24" s="65" t="n">
        <f aca="false">IF($C$11=0,0,IF(CD$17&lt;$B$11,0,MAX(0,MIN(CD$19,$C$11-SUM($B24:CC24)))))</f>
        <v>0</v>
      </c>
      <c r="CE24" s="65" t="n">
        <f aca="false">IF($C$11=0,0,IF(CE$17&lt;$B$11,0,MAX(0,MIN(CE$19,$C$11-SUM($B24:CD24)))))</f>
        <v>0</v>
      </c>
      <c r="CF24" s="65" t="n">
        <f aca="false">IF($C$11=0,0,IF(CF$17&lt;$B$11,0,MAX(0,MIN(CF$19,$C$11-SUM($B24:CE24)))))</f>
        <v>0</v>
      </c>
      <c r="CG24" s="65" t="n">
        <f aca="false">IF($C$11=0,0,IF(CG$17&lt;$B$11,0,MAX(0,MIN(CG$19,$C$11-SUM($B24:CF24)))))</f>
        <v>0</v>
      </c>
      <c r="CH24" s="65" t="n">
        <f aca="false">IF($C$11=0,0,IF(CH$17&lt;$B$11,0,MAX(0,MIN(CH$19,$C$11-SUM($B24:CG24)))))</f>
        <v>0</v>
      </c>
      <c r="CI24" s="65" t="n">
        <f aca="false">IF($C$11=0,0,IF(CI$17&lt;$B$11,0,MAX(0,MIN(CI$19,$C$11-SUM($B24:CH24)))))</f>
        <v>0</v>
      </c>
      <c r="CJ24" s="65" t="n">
        <f aca="false">IF($C$11=0,0,IF(CJ$17&lt;$B$11,0,MAX(0,MIN(CJ$19,$C$11-SUM($B24:CI24)))))</f>
        <v>0</v>
      </c>
      <c r="CK24" s="65" t="n">
        <f aca="false">IF($C$11=0,0,IF(CK$17&lt;$B$11,0,MAX(0,MIN(CK$19,$C$11-SUM($B24:CJ24)))))</f>
        <v>0</v>
      </c>
      <c r="CL24" s="65" t="n">
        <f aca="false">IF($C$11=0,0,IF(CL$17&lt;$B$11,0,MAX(0,MIN(CL$19,$C$11-SUM($B24:CK24)))))</f>
        <v>0</v>
      </c>
      <c r="CM24" s="65" t="n">
        <f aca="false">IF($C$11=0,0,IF(CM$17&lt;$B$11,0,MAX(0,MIN(CM$19,$C$11-SUM($B24:CL24)))))</f>
        <v>0</v>
      </c>
      <c r="CN24" s="65" t="n">
        <f aca="false">IF($C$11=0,0,IF(CN$17&lt;$B$11,0,MAX(0,MIN(CN$19,$C$11-SUM($B24:CM24)))))</f>
        <v>0</v>
      </c>
    </row>
    <row r="25" customFormat="false" ht="15.75" hidden="false" customHeight="true" outlineLevel="0" collapsed="false">
      <c r="A25" s="64" t="str">
        <f aca="false">A12</f>
        <v/>
      </c>
      <c r="B25" s="62" t="n">
        <v>0</v>
      </c>
      <c r="C25" s="65" t="n">
        <f aca="false">IF($C$12=0,0,IF(C$17&lt;$B$12,0,MAX(0,MIN(C$19,$C$12-SUM($B25:B25)))))</f>
        <v>0</v>
      </c>
      <c r="D25" s="65" t="n">
        <f aca="false">IF($C$12=0,0,IF(D$17&lt;$B$12,0,MAX(0,MIN(D$19,$C$12-SUM($B25:C25)))))</f>
        <v>0</v>
      </c>
      <c r="E25" s="65" t="n">
        <f aca="false">IF($C$12=0,0,IF(E$17&lt;$B$12,0,MAX(0,MIN(E$19,$C$12-SUM($B25:D25)))))</f>
        <v>0</v>
      </c>
      <c r="F25" s="65" t="n">
        <f aca="false">IF($C$12=0,0,IF(F$17&lt;$B$12,0,MAX(0,MIN(F$19,$C$12-SUM($B25:E25)))))</f>
        <v>0</v>
      </c>
      <c r="G25" s="65" t="n">
        <f aca="false">IF($C$12=0,0,IF(G$17&lt;$B$12,0,MAX(0,MIN(G$19,$C$12-SUM($B25:F25)))))</f>
        <v>0</v>
      </c>
      <c r="H25" s="65" t="n">
        <f aca="false">IF($C$12=0,0,IF(H$17&lt;$B$12,0,MAX(0,MIN(H$19,$C$12-SUM($B25:G25)))))</f>
        <v>0</v>
      </c>
      <c r="I25" s="65" t="n">
        <f aca="false">IF($C$12=0,0,IF(I$17&lt;$B$12,0,MAX(0,MIN(I$19,$C$12-SUM($B25:H25)))))</f>
        <v>0</v>
      </c>
      <c r="J25" s="65" t="n">
        <f aca="false">IF($C$12=0,0,IF(J$17&lt;$B$12,0,MAX(0,MIN(J$19,$C$12-SUM($B25:I25)))))</f>
        <v>0</v>
      </c>
      <c r="K25" s="65" t="n">
        <f aca="false">IF($C$12=0,0,IF(K$17&lt;$B$12,0,MAX(0,MIN(K$19,$C$12-SUM($B25:J25)))))</f>
        <v>0</v>
      </c>
      <c r="L25" s="65" t="n">
        <f aca="false">IF($C$12=0,0,IF(L$17&lt;$B$12,0,MAX(0,MIN(L$19,$C$12-SUM($B25:K25)))))</f>
        <v>0</v>
      </c>
      <c r="M25" s="65" t="n">
        <f aca="false">IF($C$12=0,0,IF(M$17&lt;$B$12,0,MAX(0,MIN(M$19,$C$12-SUM($B25:L25)))))</f>
        <v>0</v>
      </c>
      <c r="N25" s="65" t="n">
        <f aca="false">IF($C$12=0,0,IF(N$17&lt;$B$12,0,MAX(0,MIN(N$19,$C$12-SUM($B25:M25)))))</f>
        <v>0</v>
      </c>
      <c r="O25" s="65" t="n">
        <f aca="false">IF($C$12=0,0,IF(O$17&lt;$B$12,0,MAX(0,MIN(O$19,$C$12-SUM($B25:N25)))))</f>
        <v>0</v>
      </c>
      <c r="P25" s="65" t="n">
        <f aca="false">IF($C$12=0,0,IF(P$17&lt;$B$12,0,MAX(0,MIN(P$19,$C$12-SUM($B25:O25)))))</f>
        <v>0</v>
      </c>
      <c r="Q25" s="65" t="n">
        <f aca="false">IF($C$12=0,0,IF(Q$17&lt;$B$12,0,MAX(0,MIN(Q$19,$C$12-SUM($B25:P25)))))</f>
        <v>0</v>
      </c>
      <c r="R25" s="65" t="n">
        <f aca="false">IF($C$12=0,0,IF(R$17&lt;$B$12,0,MAX(0,MIN(R$19,$C$12-SUM($B25:Q25)))))</f>
        <v>0</v>
      </c>
      <c r="S25" s="65" t="n">
        <f aca="false">IF($C$12=0,0,IF(S$17&lt;$B$12,0,MAX(0,MIN(S$19,$C$12-SUM($B25:R25)))))</f>
        <v>0</v>
      </c>
      <c r="T25" s="65" t="n">
        <f aca="false">IF($C$12=0,0,IF(T$17&lt;$B$12,0,MAX(0,MIN(T$19,$C$12-SUM($B25:S25)))))</f>
        <v>0</v>
      </c>
      <c r="U25" s="65" t="n">
        <f aca="false">IF($C$12=0,0,IF(U$17&lt;$B$12,0,MAX(0,MIN(U$19,$C$12-SUM($B25:T25)))))</f>
        <v>0</v>
      </c>
      <c r="V25" s="65" t="n">
        <f aca="false">IF($C$12=0,0,IF(V$17&lt;$B$12,0,MAX(0,MIN(V$19,$C$12-SUM($B25:U25)))))</f>
        <v>0</v>
      </c>
      <c r="W25" s="65" t="n">
        <f aca="false">IF($C$12=0,0,IF(W$17&lt;$B$12,0,MAX(0,MIN(W$19,$C$12-SUM($B25:V25)))))</f>
        <v>0</v>
      </c>
      <c r="X25" s="65" t="n">
        <f aca="false">IF($C$12=0,0,IF(X$17&lt;$B$12,0,MAX(0,MIN(X$19,$C$12-SUM($B25:W25)))))</f>
        <v>0</v>
      </c>
      <c r="Y25" s="65" t="n">
        <f aca="false">IF($C$12=0,0,IF(Y$17&lt;$B$12,0,MAX(0,MIN(Y$19,$C$12-SUM($B25:X25)))))</f>
        <v>0</v>
      </c>
      <c r="Z25" s="65" t="n">
        <f aca="false">IF($C$12=0,0,IF(Z$17&lt;$B$12,0,MAX(0,MIN(Z$19,$C$12-SUM($B25:Y25)))))</f>
        <v>0</v>
      </c>
      <c r="AA25" s="65" t="n">
        <f aca="false">IF($C$12=0,0,IF(AA$17&lt;$B$12,0,MAX(0,MIN(AA$19,$C$12-SUM($B25:Z25)))))</f>
        <v>0</v>
      </c>
      <c r="AB25" s="65" t="n">
        <f aca="false">IF($C$12=0,0,IF(AB$17&lt;$B$12,0,MAX(0,MIN(AB$19,$C$12-SUM($B25:AA25)))))</f>
        <v>0</v>
      </c>
      <c r="AC25" s="65" t="n">
        <f aca="false">IF($C$12=0,0,IF(AC$17&lt;$B$12,0,MAX(0,MIN(AC$19,$C$12-SUM($B25:AB25)))))</f>
        <v>0</v>
      </c>
      <c r="AD25" s="65" t="n">
        <f aca="false">IF($C$12=0,0,IF(AD$17&lt;$B$12,0,MAX(0,MIN(AD$19,$C$12-SUM($B25:AC25)))))</f>
        <v>0</v>
      </c>
      <c r="AE25" s="65" t="n">
        <f aca="false">IF($C$12=0,0,IF(AE$17&lt;$B$12,0,MAX(0,MIN(AE$19,$C$12-SUM($B25:AD25)))))</f>
        <v>0</v>
      </c>
      <c r="AF25" s="65" t="n">
        <f aca="false">IF($C$12=0,0,IF(AF$17&lt;$B$12,0,MAX(0,MIN(AF$19,$C$12-SUM($B25:AE25)))))</f>
        <v>0</v>
      </c>
      <c r="AG25" s="65" t="n">
        <f aca="false">IF($C$12=0,0,IF(AG$17&lt;$B$12,0,MAX(0,MIN(AG$19,$C$12-SUM($B25:AF25)))))</f>
        <v>0</v>
      </c>
      <c r="AH25" s="65" t="n">
        <f aca="false">IF($C$12=0,0,IF(AH$17&lt;$B$12,0,MAX(0,MIN(AH$19,$C$12-SUM($B25:AG25)))))</f>
        <v>0</v>
      </c>
      <c r="AI25" s="65" t="n">
        <f aca="false">IF($C$12=0,0,IF(AI$17&lt;$B$12,0,MAX(0,MIN(AI$19,$C$12-SUM($B25:AH25)))))</f>
        <v>0</v>
      </c>
      <c r="AJ25" s="65" t="n">
        <f aca="false">IF($C$12=0,0,IF(AJ$17&lt;$B$12,0,MAX(0,MIN(AJ$19,$C$12-SUM($B25:AI25)))))</f>
        <v>0</v>
      </c>
      <c r="AK25" s="65" t="n">
        <f aca="false">IF($C$12=0,0,IF(AK$17&lt;$B$12,0,MAX(0,MIN(AK$19,$C$12-SUM($B25:AJ25)))))</f>
        <v>0</v>
      </c>
      <c r="AL25" s="65" t="n">
        <f aca="false">IF($C$12=0,0,IF(AL$17&lt;$B$12,0,MAX(0,MIN(AL$19,$C$12-SUM($B25:AK25)))))</f>
        <v>0</v>
      </c>
      <c r="AM25" s="65" t="n">
        <f aca="false">IF($C$12=0,0,IF(AM$17&lt;$B$12,0,MAX(0,MIN(AM$19,$C$12-SUM($B25:AL25)))))</f>
        <v>0</v>
      </c>
      <c r="AN25" s="65" t="n">
        <f aca="false">IF($C$12=0,0,IF(AN$17&lt;$B$12,0,MAX(0,MIN(AN$19,$C$12-SUM($B25:AM25)))))</f>
        <v>0</v>
      </c>
      <c r="AO25" s="65" t="n">
        <f aca="false">IF($C$12=0,0,IF(AO$17&lt;$B$12,0,MAX(0,MIN(AO$19,$C$12-SUM($B25:AN25)))))</f>
        <v>0</v>
      </c>
      <c r="AP25" s="65" t="n">
        <f aca="false">IF($C$12=0,0,IF(AP$17&lt;$B$12,0,MAX(0,MIN(AP$19,$C$12-SUM($B25:AO25)))))</f>
        <v>0</v>
      </c>
      <c r="AQ25" s="65" t="n">
        <f aca="false">IF($C$12=0,0,IF(AQ$17&lt;$B$12,0,MAX(0,MIN(AQ$19,$C$12-SUM($B25:AP25)))))</f>
        <v>0</v>
      </c>
      <c r="AR25" s="65" t="n">
        <f aca="false">IF($C$12=0,0,IF(AR$17&lt;$B$12,0,MAX(0,MIN(AR$19,$C$12-SUM($B25:AQ25)))))</f>
        <v>0</v>
      </c>
      <c r="AS25" s="65" t="n">
        <f aca="false">IF($C$12=0,0,IF(AS$17&lt;$B$12,0,MAX(0,MIN(AS$19,$C$12-SUM($B25:AR25)))))</f>
        <v>0</v>
      </c>
      <c r="AT25" s="65" t="n">
        <f aca="false">IF($C$12=0,0,IF(AT$17&lt;$B$12,0,MAX(0,MIN(AT$19,$C$12-SUM($B25:AS25)))))</f>
        <v>0</v>
      </c>
      <c r="AU25" s="65" t="n">
        <f aca="false">IF($C$12=0,0,IF(AU$17&lt;$B$12,0,MAX(0,MIN(AU$19,$C$12-SUM($B25:AT25)))))</f>
        <v>0</v>
      </c>
      <c r="AV25" s="65" t="n">
        <f aca="false">IF($C$12=0,0,IF(AV$17&lt;$B$12,0,MAX(0,MIN(AV$19,$C$12-SUM($B25:AU25)))))</f>
        <v>0</v>
      </c>
      <c r="AW25" s="65" t="n">
        <f aca="false">IF($C$12=0,0,IF(AW$17&lt;$B$12,0,MAX(0,MIN(AW$19,$C$12-SUM($B25:AV25)))))</f>
        <v>0</v>
      </c>
      <c r="AX25" s="65" t="n">
        <f aca="false">IF($C$12=0,0,IF(AX$17&lt;$B$12,0,MAX(0,MIN(AX$19,$C$12-SUM($B25:AW25)))))</f>
        <v>0</v>
      </c>
      <c r="AY25" s="65" t="n">
        <f aca="false">IF($C$12=0,0,IF(AY$17&lt;$B$12,0,MAX(0,MIN(AY$19,$C$12-SUM($B25:AX25)))))</f>
        <v>0</v>
      </c>
      <c r="AZ25" s="65" t="n">
        <f aca="false">IF($C$12=0,0,IF(AZ$17&lt;$B$12,0,MAX(0,MIN(AZ$19,$C$12-SUM($B25:AY25)))))</f>
        <v>0</v>
      </c>
      <c r="BA25" s="65" t="n">
        <f aca="false">IF($C$12=0,0,IF(BA$17&lt;$B$12,0,MAX(0,MIN(BA$19,$C$12-SUM($B25:AZ25)))))</f>
        <v>0</v>
      </c>
      <c r="BB25" s="65" t="n">
        <f aca="false">IF($C$12=0,0,IF(BB$17&lt;$B$12,0,MAX(0,MIN(BB$19,$C$12-SUM($B25:BA25)))))</f>
        <v>0</v>
      </c>
      <c r="BC25" s="65" t="n">
        <f aca="false">IF($C$12=0,0,IF(BC$17&lt;$B$12,0,MAX(0,MIN(BC$19,$C$12-SUM($B25:BB25)))))</f>
        <v>0</v>
      </c>
      <c r="BD25" s="65" t="n">
        <f aca="false">IF($C$12=0,0,IF(BD$17&lt;$B$12,0,MAX(0,MIN(BD$19,$C$12-SUM($B25:BC25)))))</f>
        <v>0</v>
      </c>
      <c r="BE25" s="65" t="n">
        <f aca="false">IF($C$12=0,0,IF(BE$17&lt;$B$12,0,MAX(0,MIN(BE$19,$C$12-SUM($B25:BD25)))))</f>
        <v>0</v>
      </c>
      <c r="BF25" s="65" t="n">
        <f aca="false">IF($C$12=0,0,IF(BF$17&lt;$B$12,0,MAX(0,MIN(BF$19,$C$12-SUM($B25:BE25)))))</f>
        <v>0</v>
      </c>
      <c r="BG25" s="65" t="n">
        <f aca="false">IF($C$12=0,0,IF(BG$17&lt;$B$12,0,MAX(0,MIN(BG$19,$C$12-SUM($B25:BF25)))))</f>
        <v>0</v>
      </c>
      <c r="BH25" s="65" t="n">
        <f aca="false">IF($C$12=0,0,IF(BH$17&lt;$B$12,0,MAX(0,MIN(BH$19,$C$12-SUM($B25:BG25)))))</f>
        <v>0</v>
      </c>
      <c r="BI25" s="65" t="n">
        <f aca="false">IF($C$12=0,0,IF(BI$17&lt;$B$12,0,MAX(0,MIN(BI$19,$C$12-SUM($B25:BH25)))))</f>
        <v>0</v>
      </c>
      <c r="BJ25" s="65" t="n">
        <f aca="false">IF($C$12=0,0,IF(BJ$17&lt;$B$12,0,MAX(0,MIN(BJ$19,$C$12-SUM($B25:BI25)))))</f>
        <v>0</v>
      </c>
      <c r="BK25" s="65" t="n">
        <f aca="false">IF($C$12=0,0,IF(BK$17&lt;$B$12,0,MAX(0,MIN(BK$19,$C$12-SUM($B25:BJ25)))))</f>
        <v>0</v>
      </c>
      <c r="BL25" s="65" t="n">
        <f aca="false">IF($C$12=0,0,IF(BL$17&lt;$B$12,0,MAX(0,MIN(BL$19,$C$12-SUM($B25:BK25)))))</f>
        <v>0</v>
      </c>
      <c r="BM25" s="65" t="n">
        <f aca="false">IF($C$12=0,0,IF(BM$17&lt;$B$12,0,MAX(0,MIN(BM$19,$C$12-SUM($B25:BL25)))))</f>
        <v>0</v>
      </c>
      <c r="BN25" s="65" t="n">
        <f aca="false">IF($C$12=0,0,IF(BN$17&lt;$B$12,0,MAX(0,MIN(BN$19,$C$12-SUM($B25:BM25)))))</f>
        <v>0</v>
      </c>
      <c r="BO25" s="65" t="n">
        <f aca="false">IF($C$12=0,0,IF(BO$17&lt;$B$12,0,MAX(0,MIN(BO$19,$C$12-SUM($B25:BN25)))))</f>
        <v>0</v>
      </c>
      <c r="BP25" s="65" t="n">
        <f aca="false">IF($C$12=0,0,IF(BP$17&lt;$B$12,0,MAX(0,MIN(BP$19,$C$12-SUM($B25:BO25)))))</f>
        <v>0</v>
      </c>
      <c r="BQ25" s="65" t="n">
        <f aca="false">IF($C$12=0,0,IF(BQ$17&lt;$B$12,0,MAX(0,MIN(BQ$19,$C$12-SUM($B25:BP25)))))</f>
        <v>0</v>
      </c>
      <c r="BR25" s="65" t="n">
        <f aca="false">IF($C$12=0,0,IF(BR$17&lt;$B$12,0,MAX(0,MIN(BR$19,$C$12-SUM($B25:BQ25)))))</f>
        <v>0</v>
      </c>
      <c r="BS25" s="65" t="n">
        <f aca="false">IF($C$12=0,0,IF(BS$17&lt;$B$12,0,MAX(0,MIN(BS$19,$C$12-SUM($B25:BR25)))))</f>
        <v>0</v>
      </c>
      <c r="BT25" s="65" t="n">
        <f aca="false">IF($C$12=0,0,IF(BT$17&lt;$B$12,0,MAX(0,MIN(BT$19,$C$12-SUM($B25:BS25)))))</f>
        <v>0</v>
      </c>
      <c r="BU25" s="65" t="n">
        <f aca="false">IF($C$12=0,0,IF(BU$17&lt;$B$12,0,MAX(0,MIN(BU$19,$C$12-SUM($B25:BT25)))))</f>
        <v>0</v>
      </c>
      <c r="BV25" s="65" t="n">
        <f aca="false">IF($C$12=0,0,IF(BV$17&lt;$B$12,0,MAX(0,MIN(BV$19,$C$12-SUM($B25:BU25)))))</f>
        <v>0</v>
      </c>
      <c r="BW25" s="65" t="n">
        <f aca="false">IF($C$12=0,0,IF(BW$17&lt;$B$12,0,MAX(0,MIN(BW$19,$C$12-SUM($B25:BV25)))))</f>
        <v>0</v>
      </c>
      <c r="BX25" s="65" t="n">
        <f aca="false">IF($C$12=0,0,IF(BX$17&lt;$B$12,0,MAX(0,MIN(BX$19,$C$12-SUM($B25:BW25)))))</f>
        <v>0</v>
      </c>
      <c r="BY25" s="65" t="n">
        <f aca="false">IF($C$12=0,0,IF(BY$17&lt;$B$12,0,MAX(0,MIN(BY$19,$C$12-SUM($B25:BX25)))))</f>
        <v>0</v>
      </c>
      <c r="BZ25" s="65" t="n">
        <f aca="false">IF($C$12=0,0,IF(BZ$17&lt;$B$12,0,MAX(0,MIN(BZ$19,$C$12-SUM($B25:BY25)))))</f>
        <v>0</v>
      </c>
      <c r="CA25" s="65" t="n">
        <f aca="false">IF($C$12=0,0,IF(CA$17&lt;$B$12,0,MAX(0,MIN(CA$19,$C$12-SUM($B25:BZ25)))))</f>
        <v>0</v>
      </c>
      <c r="CB25" s="65" t="n">
        <f aca="false">IF($C$12=0,0,IF(CB$17&lt;$B$12,0,MAX(0,MIN(CB$19,$C$12-SUM($B25:CA25)))))</f>
        <v>0</v>
      </c>
      <c r="CC25" s="65" t="n">
        <f aca="false">IF($C$12=0,0,IF(CC$17&lt;$B$12,0,MAX(0,MIN(CC$19,$C$12-SUM($B25:CB25)))))</f>
        <v>0</v>
      </c>
      <c r="CD25" s="65" t="n">
        <f aca="false">IF($C$12=0,0,IF(CD$17&lt;$B$12,0,MAX(0,MIN(CD$19,$C$12-SUM($B25:CC25)))))</f>
        <v>0</v>
      </c>
      <c r="CE25" s="65" t="n">
        <f aca="false">IF($C$12=0,0,IF(CE$17&lt;$B$12,0,MAX(0,MIN(CE$19,$C$12-SUM($B25:CD25)))))</f>
        <v>0</v>
      </c>
      <c r="CF25" s="65" t="n">
        <f aca="false">IF($C$12=0,0,IF(CF$17&lt;$B$12,0,MAX(0,MIN(CF$19,$C$12-SUM($B25:CE25)))))</f>
        <v>0</v>
      </c>
      <c r="CG25" s="65" t="n">
        <f aca="false">IF($C$12=0,0,IF(CG$17&lt;$B$12,0,MAX(0,MIN(CG$19,$C$12-SUM($B25:CF25)))))</f>
        <v>0</v>
      </c>
      <c r="CH25" s="65" t="n">
        <f aca="false">IF($C$12=0,0,IF(CH$17&lt;$B$12,0,MAX(0,MIN(CH$19,$C$12-SUM($B25:CG25)))))</f>
        <v>0</v>
      </c>
      <c r="CI25" s="65" t="n">
        <f aca="false">IF($C$12=0,0,IF(CI$17&lt;$B$12,0,MAX(0,MIN(CI$19,$C$12-SUM($B25:CH25)))))</f>
        <v>0</v>
      </c>
      <c r="CJ25" s="65" t="n">
        <f aca="false">IF($C$12=0,0,IF(CJ$17&lt;$B$12,0,MAX(0,MIN(CJ$19,$C$12-SUM($B25:CI25)))))</f>
        <v>0</v>
      </c>
      <c r="CK25" s="65" t="n">
        <f aca="false">IF($C$12=0,0,IF(CK$17&lt;$B$12,0,MAX(0,MIN(CK$19,$C$12-SUM($B25:CJ25)))))</f>
        <v>0</v>
      </c>
      <c r="CL25" s="65" t="n">
        <f aca="false">IF($C$12=0,0,IF(CL$17&lt;$B$12,0,MAX(0,MIN(CL$19,$C$12-SUM($B25:CK25)))))</f>
        <v>0</v>
      </c>
      <c r="CM25" s="65" t="n">
        <f aca="false">IF($C$12=0,0,IF(CM$17&lt;$B$12,0,MAX(0,MIN(CM$19,$C$12-SUM($B25:CL25)))))</f>
        <v>0</v>
      </c>
      <c r="CN25" s="65" t="n">
        <f aca="false">IF($C$12=0,0,IF(CN$17&lt;$B$12,0,MAX(0,MIN(CN$19,$C$12-SUM($B25:CM25)))))</f>
        <v>0</v>
      </c>
    </row>
  </sheetData>
  <mergeCells count="5">
    <mergeCell ref="A1:F1"/>
    <mergeCell ref="A3:F3"/>
    <mergeCell ref="A5:E5"/>
    <mergeCell ref="A14:F14"/>
    <mergeCell ref="A15:F15"/>
  </mergeCells>
  <conditionalFormatting sqref="C20:CN20">
    <cfRule type="colorScale" priority="2">
      <colorScale>
        <cfvo type="num" val="0"/>
        <cfvo type="num" val="8"/>
        <color rgb="FFFFFFFF"/>
        <color rgb="FF2E75B6"/>
      </colorScale>
    </cfRule>
  </conditionalFormatting>
  <conditionalFormatting sqref="C21:CN21">
    <cfRule type="colorScale" priority="3">
      <colorScale>
        <cfvo type="num" val="0"/>
        <cfvo type="num" val="8"/>
        <color rgb="FFFFFFFF"/>
        <color rgb="FF2E75B6"/>
      </colorScale>
    </cfRule>
  </conditionalFormatting>
  <conditionalFormatting sqref="C22:CN22">
    <cfRule type="colorScale" priority="4">
      <colorScale>
        <cfvo type="num" val="0"/>
        <cfvo type="num" val="8"/>
        <color rgb="FFFFFFFF"/>
        <color rgb="FF2E75B6"/>
      </colorScale>
    </cfRule>
  </conditionalFormatting>
  <conditionalFormatting sqref="C23:CN23">
    <cfRule type="colorScale" priority="5">
      <colorScale>
        <cfvo type="num" val="0"/>
        <cfvo type="num" val="8"/>
        <color rgb="FFFFFFFF"/>
        <color rgb="FF2E75B6"/>
      </colorScale>
    </cfRule>
  </conditionalFormatting>
  <conditionalFormatting sqref="C24:CN24">
    <cfRule type="colorScale" priority="6">
      <colorScale>
        <cfvo type="num" val="0"/>
        <cfvo type="num" val="8"/>
        <color rgb="FFFFFFFF"/>
        <color rgb="FF2E75B6"/>
      </colorScale>
    </cfRule>
  </conditionalFormatting>
  <conditionalFormatting sqref="C25:CN25">
    <cfRule type="colorScale" priority="7">
      <colorScale>
        <cfvo type="num" val="0"/>
        <cfvo type="num" val="8"/>
        <color rgb="FFFFFFFF"/>
        <color rgb="FF2E75B6"/>
      </colorScale>
    </cfRule>
  </conditionalFormatting>
  <conditionalFormatting sqref="C17:CN25">
    <cfRule type="expression" priority="8" aboveAverage="0" equalAverage="0" bottom="0" percent="0" rank="0" text="" dxfId="0">
      <formula>C$19=0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6"/>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3"/>
    <col collapsed="false" customWidth="true" hidden="false" outlineLevel="0" max="8" min="8" style="0" width="16"/>
  </cols>
  <sheetData>
    <row r="1" customFormat="false" ht="25.5" hidden="false" customHeight="true" outlineLevel="0" collapsed="false">
      <c r="A1" s="1" t="s">
        <v>96</v>
      </c>
      <c r="B1" s="1"/>
      <c r="C1" s="1"/>
      <c r="D1" s="1"/>
      <c r="E1" s="1"/>
      <c r="F1" s="1"/>
      <c r="G1" s="1"/>
      <c r="H1" s="1"/>
    </row>
    <row r="3" customFormat="false" ht="25.5" hidden="false" customHeight="true" outlineLevel="0" collapsed="false">
      <c r="B3" s="66" t="s">
        <v>97</v>
      </c>
      <c r="C3" s="66"/>
      <c r="D3" s="66" t="s">
        <v>98</v>
      </c>
      <c r="E3" s="66"/>
      <c r="F3" s="66" t="s">
        <v>99</v>
      </c>
      <c r="G3" s="66"/>
      <c r="H3" s="66" t="s">
        <v>100</v>
      </c>
      <c r="I3" s="66"/>
    </row>
    <row r="4" customFormat="false" ht="19.5" hidden="false" customHeight="true" outlineLevel="0" collapsed="false">
      <c r="B4" s="67" t="n">
        <f aca="false">'Planning Chantier'!H50</f>
        <v>28</v>
      </c>
      <c r="C4" s="67"/>
      <c r="D4" s="68" t="n">
        <f aca="false">COUNTA('Planning Chantier'!A8,'Planning Chantier'!A15,'Planning Chantier'!A22,'Planning Chantier'!A29,'Planning Chantier'!A36,'Planning Chantier'!A43)</f>
        <v>2</v>
      </c>
      <c r="E4" s="68"/>
      <c r="F4" s="67" t="n">
        <f aca="false">IFERROR(B4/D4,0)</f>
        <v>14</v>
      </c>
      <c r="G4" s="67"/>
      <c r="H4" s="69" t="n">
        <f aca="false">'Planning Chantier'!I50</f>
        <v>46287</v>
      </c>
      <c r="I4" s="69"/>
    </row>
    <row r="5" customFormat="false" ht="19.5" hidden="false" customHeight="true" outlineLevel="0" collapsed="false">
      <c r="B5" s="67"/>
      <c r="C5" s="67"/>
      <c r="D5" s="68"/>
      <c r="E5" s="68"/>
      <c r="F5" s="67"/>
      <c r="G5" s="67"/>
      <c r="H5" s="69"/>
      <c r="I5" s="69"/>
    </row>
    <row r="8" customFormat="false" ht="15" hidden="false" customHeight="false" outlineLevel="0" collapsed="false">
      <c r="B8" s="2" t="s">
        <v>101</v>
      </c>
      <c r="C8" s="2"/>
      <c r="E8" s="2" t="s">
        <v>102</v>
      </c>
      <c r="F8" s="2"/>
    </row>
    <row r="9" customFormat="false" ht="15" hidden="false" customHeight="false" outlineLevel="0" collapsed="false">
      <c r="B9" s="4" t="s">
        <v>88</v>
      </c>
      <c r="C9" s="4" t="s">
        <v>103</v>
      </c>
      <c r="E9" s="4" t="s">
        <v>67</v>
      </c>
      <c r="F9" s="4" t="s">
        <v>103</v>
      </c>
    </row>
    <row r="10" customFormat="false" ht="15" hidden="false" customHeight="false" outlineLevel="0" collapsed="false">
      <c r="B10" s="13" t="str">
        <f aca="false">IF('Planning Chantier'!A8="","",'Planning Chantier'!A8)</f>
        <v>I03</v>
      </c>
      <c r="C10" s="25" t="n">
        <f aca="false">IF('Planning Chantier'!A8="","",'Planning Chantier'!H8)</f>
        <v>14</v>
      </c>
      <c r="E10" s="13" t="str">
        <f aca="false">IF(Configuration!A28="","",Configuration!A28)</f>
        <v>J. Martin</v>
      </c>
      <c r="F10" s="25" t="n">
        <f aca="false">IF(E10="","",SUMIF('Planning Chantier'!$D$9:$D$14,E10,'Planning Chantier'!$E$9:$E$14)+SUMIF('Planning Chantier'!$D$16:$D$21,E10,'Planning Chantier'!$E$16:$E$21)+SUMIF('Planning Chantier'!$D$23:$D$28,E10,'Planning Chantier'!$E$23:$E$28)+SUMIF('Planning Chantier'!$D$30:$D$35,E10,'Planning Chantier'!$E$30:$E$35)+SUMIF('Planning Chantier'!$D$37:$D$42,E10,'Planning Chantier'!$E$37:$E$42)+SUMIF('Planning Chantier'!$D$44:$D$49,E10,'Planning Chantier'!$E$44:$E$49))</f>
        <v>14</v>
      </c>
    </row>
    <row r="11" customFormat="false" ht="15" hidden="false" customHeight="false" outlineLevel="0" collapsed="false">
      <c r="B11" s="13" t="str">
        <f aca="false">IF('Planning Chantier'!A15="","",'Planning Chantier'!A15)</f>
        <v>I02</v>
      </c>
      <c r="C11" s="25" t="n">
        <f aca="false">IF('Planning Chantier'!A15="","",'Planning Chantier'!H15)</f>
        <v>14</v>
      </c>
      <c r="E11" s="13" t="str">
        <f aca="false">IF(Configuration!A29="","",Configuration!A29)</f>
        <v>L. Dupuis</v>
      </c>
      <c r="F11" s="25" t="n">
        <f aca="false">IF(E11="","",SUMIF('Planning Chantier'!$D$9:$D$14,E11,'Planning Chantier'!$E$9:$E$14)+SUMIF('Planning Chantier'!$D$16:$D$21,E11,'Planning Chantier'!$E$16:$E$21)+SUMIF('Planning Chantier'!$D$23:$D$28,E11,'Planning Chantier'!$E$23:$E$28)+SUMIF('Planning Chantier'!$D$30:$D$35,E11,'Planning Chantier'!$E$30:$E$35)+SUMIF('Planning Chantier'!$D$37:$D$42,E11,'Planning Chantier'!$E$37:$E$42)+SUMIF('Planning Chantier'!$D$44:$D$49,E11,'Planning Chantier'!$E$44:$E$49))</f>
        <v>14</v>
      </c>
    </row>
    <row r="12" customFormat="false" ht="15" hidden="false" customHeight="false" outlineLevel="0" collapsed="false">
      <c r="B12" s="13" t="str">
        <f aca="false">IF('Planning Chantier'!A22="","",'Planning Chantier'!A22)</f>
        <v/>
      </c>
      <c r="C12" s="25" t="str">
        <f aca="false">IF('Planning Chantier'!A22="","",'Planning Chantier'!H22)</f>
        <v/>
      </c>
      <c r="E12" s="13" t="str">
        <f aca="false">IF(Configuration!A30="","",Configuration!A30)</f>
        <v/>
      </c>
      <c r="F12" s="25" t="str">
        <f aca="false">IF(E12="","",SUMIF('Planning Chantier'!$D$9:$D$14,E12,'Planning Chantier'!$E$9:$E$14)+SUMIF('Planning Chantier'!$D$16:$D$21,E12,'Planning Chantier'!$E$16:$E$21)+SUMIF('Planning Chantier'!$D$23:$D$28,E12,'Planning Chantier'!$E$23:$E$28)+SUMIF('Planning Chantier'!$D$30:$D$35,E12,'Planning Chantier'!$E$30:$E$35)+SUMIF('Planning Chantier'!$D$37:$D$42,E12,'Planning Chantier'!$E$37:$E$42)+SUMIF('Planning Chantier'!$D$44:$D$49,E12,'Planning Chantier'!$E$44:$E$49))</f>
        <v/>
      </c>
    </row>
    <row r="13" customFormat="false" ht="15" hidden="false" customHeight="false" outlineLevel="0" collapsed="false">
      <c r="B13" s="13" t="str">
        <f aca="false">IF('Planning Chantier'!A29="","",'Planning Chantier'!A29)</f>
        <v/>
      </c>
      <c r="C13" s="25" t="str">
        <f aca="false">IF('Planning Chantier'!A29="","",'Planning Chantier'!H29)</f>
        <v/>
      </c>
      <c r="E13" s="13" t="str">
        <f aca="false">IF(Configuration!A31="","",Configuration!A31)</f>
        <v/>
      </c>
      <c r="F13" s="25" t="str">
        <f aca="false">IF(E13="","",SUMIF('Planning Chantier'!$D$9:$D$14,E13,'Planning Chantier'!$E$9:$E$14)+SUMIF('Planning Chantier'!$D$16:$D$21,E13,'Planning Chantier'!$E$16:$E$21)+SUMIF('Planning Chantier'!$D$23:$D$28,E13,'Planning Chantier'!$E$23:$E$28)+SUMIF('Planning Chantier'!$D$30:$D$35,E13,'Planning Chantier'!$E$30:$E$35)+SUMIF('Planning Chantier'!$D$37:$D$42,E13,'Planning Chantier'!$E$37:$E$42)+SUMIF('Planning Chantier'!$D$44:$D$49,E13,'Planning Chantier'!$E$44:$E$49))</f>
        <v/>
      </c>
    </row>
    <row r="14" customFormat="false" ht="15" hidden="false" customHeight="false" outlineLevel="0" collapsed="false">
      <c r="B14" s="13" t="str">
        <f aca="false">IF('Planning Chantier'!A36="","",'Planning Chantier'!A36)</f>
        <v/>
      </c>
      <c r="C14" s="25" t="str">
        <f aca="false">IF('Planning Chantier'!A36="","",'Planning Chantier'!H36)</f>
        <v/>
      </c>
      <c r="E14" s="13" t="str">
        <f aca="false">IF(Configuration!A32="","",Configuration!A32)</f>
        <v/>
      </c>
      <c r="F14" s="25" t="str">
        <f aca="false">IF(E14="","",SUMIF('Planning Chantier'!$D$9:$D$14,E14,'Planning Chantier'!$E$9:$E$14)+SUMIF('Planning Chantier'!$D$16:$D$21,E14,'Planning Chantier'!$E$16:$E$21)+SUMIF('Planning Chantier'!$D$23:$D$28,E14,'Planning Chantier'!$E$23:$E$28)+SUMIF('Planning Chantier'!$D$30:$D$35,E14,'Planning Chantier'!$E$30:$E$35)+SUMIF('Planning Chantier'!$D$37:$D$42,E14,'Planning Chantier'!$E$37:$E$42)+SUMIF('Planning Chantier'!$D$44:$D$49,E14,'Planning Chantier'!$E$44:$E$49))</f>
        <v/>
      </c>
    </row>
    <row r="15" customFormat="false" ht="15" hidden="false" customHeight="false" outlineLevel="0" collapsed="false">
      <c r="B15" s="13" t="str">
        <f aca="false">IF('Planning Chantier'!A43="","",'Planning Chantier'!A43)</f>
        <v/>
      </c>
      <c r="C15" s="25" t="str">
        <f aca="false">IF('Planning Chantier'!A43="","",'Planning Chantier'!H43)</f>
        <v/>
      </c>
      <c r="E15" s="13" t="str">
        <f aca="false">IF(Configuration!A33="","",Configuration!A33)</f>
        <v/>
      </c>
      <c r="F15" s="25" t="str">
        <f aca="false">IF(E15="","",SUMIF('Planning Chantier'!$D$9:$D$14,E15,'Planning Chantier'!$E$9:$E$14)+SUMIF('Planning Chantier'!$D$16:$D$21,E15,'Planning Chantier'!$E$16:$E$21)+SUMIF('Planning Chantier'!$D$23:$D$28,E15,'Planning Chantier'!$E$23:$E$28)+SUMIF('Planning Chantier'!$D$30:$D$35,E15,'Planning Chantier'!$E$30:$E$35)+SUMIF('Planning Chantier'!$D$37:$D$42,E15,'Planning Chantier'!$E$37:$E$42)+SUMIF('Planning Chantier'!$D$44:$D$49,E15,'Planning Chantier'!$E$44:$E$49))</f>
        <v/>
      </c>
    </row>
    <row r="16" customFormat="false" ht="15" hidden="false" customHeight="false" outlineLevel="0" collapsed="false">
      <c r="E16" s="13" t="str">
        <f aca="false">IF(Configuration!A34="","",Configuration!A34)</f>
        <v/>
      </c>
      <c r="F16" s="25" t="str">
        <f aca="false">IF(E16="","",SUMIF('Planning Chantier'!$D$9:$D$14,E16,'Planning Chantier'!$E$9:$E$14)+SUMIF('Planning Chantier'!$D$16:$D$21,E16,'Planning Chantier'!$E$16:$E$21)+SUMIF('Planning Chantier'!$D$23:$D$28,E16,'Planning Chantier'!$E$23:$E$28)+SUMIF('Planning Chantier'!$D$30:$D$35,E16,'Planning Chantier'!$E$30:$E$35)+SUMIF('Planning Chantier'!$D$37:$D$42,E16,'Planning Chantier'!$E$37:$E$42)+SUMIF('Planning Chantier'!$D$44:$D$49,E16,'Planning Chantier'!$E$44:$E$49))</f>
        <v/>
      </c>
    </row>
    <row r="17" customFormat="false" ht="15" hidden="false" customHeight="false" outlineLevel="0" collapsed="false">
      <c r="E17" s="13" t="str">
        <f aca="false">IF(Configuration!A35="","",Configuration!A35)</f>
        <v/>
      </c>
      <c r="F17" s="25" t="str">
        <f aca="false">IF(E17="","",SUMIF('Planning Chantier'!$D$9:$D$14,E17,'Planning Chantier'!$E$9:$E$14)+SUMIF('Planning Chantier'!$D$16:$D$21,E17,'Planning Chantier'!$E$16:$E$21)+SUMIF('Planning Chantier'!$D$23:$D$28,E17,'Planning Chantier'!$E$23:$E$28)+SUMIF('Planning Chantier'!$D$30:$D$35,E17,'Planning Chantier'!$E$30:$E$35)+SUMIF('Planning Chantier'!$D$37:$D$42,E17,'Planning Chantier'!$E$37:$E$42)+SUMIF('Planning Chantier'!$D$44:$D$49,E17,'Planning Chantier'!$E$44:$E$49))</f>
        <v/>
      </c>
    </row>
    <row r="18" customFormat="false" ht="15" hidden="false" customHeight="false" outlineLevel="0" collapsed="false">
      <c r="B18" s="2" t="s">
        <v>104</v>
      </c>
      <c r="C18" s="2"/>
      <c r="E18" s="13" t="str">
        <f aca="false">IF(Configuration!A36="","",Configuration!A36)</f>
        <v/>
      </c>
      <c r="F18" s="25" t="str">
        <f aca="false">IF(E18="","",SUMIF('Planning Chantier'!$D$9:$D$14,E18,'Planning Chantier'!$E$9:$E$14)+SUMIF('Planning Chantier'!$D$16:$D$21,E18,'Planning Chantier'!$E$16:$E$21)+SUMIF('Planning Chantier'!$D$23:$D$28,E18,'Planning Chantier'!$E$23:$E$28)+SUMIF('Planning Chantier'!$D$30:$D$35,E18,'Planning Chantier'!$E$30:$E$35)+SUMIF('Planning Chantier'!$D$37:$D$42,E18,'Planning Chantier'!$E$37:$E$42)+SUMIF('Planning Chantier'!$D$44:$D$49,E18,'Planning Chantier'!$E$44:$E$49))</f>
        <v/>
      </c>
    </row>
    <row r="19" customFormat="false" ht="15" hidden="false" customHeight="false" outlineLevel="0" collapsed="false">
      <c r="B19" s="4" t="s">
        <v>18</v>
      </c>
      <c r="C19" s="4" t="s">
        <v>103</v>
      </c>
      <c r="E19" s="13" t="str">
        <f aca="false">IF(Configuration!A37="","",Configuration!A37)</f>
        <v/>
      </c>
      <c r="F19" s="25" t="str">
        <f aca="false">IF(E19="","",SUMIF('Planning Chantier'!$D$9:$D$14,E19,'Planning Chantier'!$E$9:$E$14)+SUMIF('Planning Chantier'!$D$16:$D$21,E19,'Planning Chantier'!$E$16:$E$21)+SUMIF('Planning Chantier'!$D$23:$D$28,E19,'Planning Chantier'!$E$23:$E$28)+SUMIF('Planning Chantier'!$D$30:$D$35,E19,'Planning Chantier'!$E$30:$E$35)+SUMIF('Planning Chantier'!$D$37:$D$42,E19,'Planning Chantier'!$E$37:$E$42)+SUMIF('Planning Chantier'!$D$44:$D$49,E19,'Planning Chantier'!$E$44:$E$49))</f>
        <v/>
      </c>
    </row>
    <row r="20" customFormat="false" ht="15" hidden="false" customHeight="false" outlineLevel="0" collapsed="false">
      <c r="B20" s="13" t="s">
        <v>22</v>
      </c>
      <c r="C20" s="25" t="n">
        <f aca="false">SUMPRODUCT((IFERROR(INDEX(Configuration!$B$5:$B$24,MATCH('Planning Chantier'!$C$9:$C$14,Configuration!$C$5:$C$24,0)),"")=B20)*'Planning Chantier'!$E$9:$E$14)+SUMPRODUCT((IFERROR(INDEX(Configuration!$B$5:$B$24,MATCH('Planning Chantier'!$C$16:$C$21,Configuration!$C$5:$C$24,0)),"")=B20)*'Planning Chantier'!$E$16:$E$21)+SUMPRODUCT((IFERROR(INDEX(Configuration!$B$5:$B$24,MATCH('Planning Chantier'!$C$23:$C$28,Configuration!$C$5:$C$24,0)),"")=B20)*'Planning Chantier'!$E$23:$E$28)+SUMPRODUCT((IFERROR(INDEX(Configuration!$B$5:$B$24,MATCH('Planning Chantier'!$C$30:$C$35,Configuration!$C$5:$C$24,0)),"")=B20)*'Planning Chantier'!$E$30:$E$35)+SUMPRODUCT((IFERROR(INDEX(Configuration!$B$5:$B$24,MATCH('Planning Chantier'!$C$37:$C$42,Configuration!$C$5:$C$24,0)),"")=B20)*'Planning Chantier'!$E$37:$E$42)+SUMPRODUCT((IFERROR(INDEX(Configuration!$B$5:$B$24,MATCH('Planning Chantier'!$C$44:$C$49,Configuration!$C$5:$C$24,0)),"")=B20)*'Planning Chantier'!$E$44:$E$49)</f>
        <v>6</v>
      </c>
    </row>
    <row r="21" customFormat="false" ht="15" hidden="false" customHeight="false" outlineLevel="0" collapsed="false">
      <c r="B21" s="13" t="s">
        <v>25</v>
      </c>
      <c r="C21" s="25" t="n">
        <f aca="false">SUMPRODUCT((IFERROR(INDEX(Configuration!$B$5:$B$24,MATCH('Planning Chantier'!$C$9:$C$14,Configuration!$C$5:$C$24,0)),"")=B21)*'Planning Chantier'!$E$9:$E$14)+SUMPRODUCT((IFERROR(INDEX(Configuration!$B$5:$B$24,MATCH('Planning Chantier'!$C$16:$C$21,Configuration!$C$5:$C$24,0)),"")=B21)*'Planning Chantier'!$E$16:$E$21)+SUMPRODUCT((IFERROR(INDEX(Configuration!$B$5:$B$24,MATCH('Planning Chantier'!$C$23:$C$28,Configuration!$C$5:$C$24,0)),"")=B21)*'Planning Chantier'!$E$23:$E$28)+SUMPRODUCT((IFERROR(INDEX(Configuration!$B$5:$B$24,MATCH('Planning Chantier'!$C$30:$C$35,Configuration!$C$5:$C$24,0)),"")=B21)*'Planning Chantier'!$E$30:$E$35)+SUMPRODUCT((IFERROR(INDEX(Configuration!$B$5:$B$24,MATCH('Planning Chantier'!$C$37:$C$42,Configuration!$C$5:$C$24,0)),"")=B21)*'Planning Chantier'!$E$37:$E$42)+SUMPRODUCT((IFERROR(INDEX(Configuration!$B$5:$B$24,MATCH('Planning Chantier'!$C$44:$C$49,Configuration!$C$5:$C$24,0)),"")=B21)*'Planning Chantier'!$E$44:$E$49)</f>
        <v>12</v>
      </c>
    </row>
    <row r="22" customFormat="false" ht="15" hidden="false" customHeight="false" outlineLevel="0" collapsed="false">
      <c r="B22" s="13" t="s">
        <v>28</v>
      </c>
      <c r="C22" s="25" t="n">
        <f aca="false">SUMPRODUCT((IFERROR(INDEX(Configuration!$B$5:$B$24,MATCH('Planning Chantier'!$C$9:$C$14,Configuration!$C$5:$C$24,0)),"")=B22)*'Planning Chantier'!$E$9:$E$14)+SUMPRODUCT((IFERROR(INDEX(Configuration!$B$5:$B$24,MATCH('Planning Chantier'!$C$16:$C$21,Configuration!$C$5:$C$24,0)),"")=B22)*'Planning Chantier'!$E$16:$E$21)+SUMPRODUCT((IFERROR(INDEX(Configuration!$B$5:$B$24,MATCH('Planning Chantier'!$C$23:$C$28,Configuration!$C$5:$C$24,0)),"")=B22)*'Planning Chantier'!$E$23:$E$28)+SUMPRODUCT((IFERROR(INDEX(Configuration!$B$5:$B$24,MATCH('Planning Chantier'!$C$30:$C$35,Configuration!$C$5:$C$24,0)),"")=B22)*'Planning Chantier'!$E$30:$E$35)+SUMPRODUCT((IFERROR(INDEX(Configuration!$B$5:$B$24,MATCH('Planning Chantier'!$C$37:$C$42,Configuration!$C$5:$C$24,0)),"")=B22)*'Planning Chantier'!$E$37:$E$42)+SUMPRODUCT((IFERROR(INDEX(Configuration!$B$5:$B$24,MATCH('Planning Chantier'!$C$44:$C$49,Configuration!$C$5:$C$24,0)),"")=B22)*'Planning Chantier'!$E$44:$E$49)</f>
        <v>10</v>
      </c>
    </row>
    <row r="23" customFormat="false" ht="15" hidden="false" customHeight="false" outlineLevel="0" collapsed="false">
      <c r="B23" s="13" t="s">
        <v>31</v>
      </c>
      <c r="C23" s="25" t="n">
        <f aca="false">SUMPRODUCT((IFERROR(INDEX(Configuration!$B$5:$B$24,MATCH('Planning Chantier'!$C$9:$C$14,Configuration!$C$5:$C$24,0)),"")=B23)*'Planning Chantier'!$E$9:$E$14)+SUMPRODUCT((IFERROR(INDEX(Configuration!$B$5:$B$24,MATCH('Planning Chantier'!$C$16:$C$21,Configuration!$C$5:$C$24,0)),"")=B23)*'Planning Chantier'!$E$16:$E$21)+SUMPRODUCT((IFERROR(INDEX(Configuration!$B$5:$B$24,MATCH('Planning Chantier'!$C$23:$C$28,Configuration!$C$5:$C$24,0)),"")=B23)*'Planning Chantier'!$E$23:$E$28)+SUMPRODUCT((IFERROR(INDEX(Configuration!$B$5:$B$24,MATCH('Planning Chantier'!$C$30:$C$35,Configuration!$C$5:$C$24,0)),"")=B23)*'Planning Chantier'!$E$30:$E$35)+SUMPRODUCT((IFERROR(INDEX(Configuration!$B$5:$B$24,MATCH('Planning Chantier'!$C$37:$C$42,Configuration!$C$5:$C$24,0)),"")=B23)*'Planning Chantier'!$E$37:$E$42)+SUMPRODUCT((IFERROR(INDEX(Configuration!$B$5:$B$24,MATCH('Planning Chantier'!$C$44:$C$49,Configuration!$C$5:$C$24,0)),"")=B23)*'Planning Chantier'!$E$44:$E$49)</f>
        <v>0</v>
      </c>
    </row>
    <row r="24" customFormat="false" ht="15" hidden="false" customHeight="false" outlineLevel="0" collapsed="false">
      <c r="B24" s="13" t="s">
        <v>105</v>
      </c>
      <c r="C24" s="25" t="n">
        <f aca="false">SUMPRODUCT((IFERROR(INDEX(Configuration!$B$5:$B$24,MATCH('Planning Chantier'!$C$9:$C$14,Configuration!$C$5:$C$24,0)),"")=B24)*'Planning Chantier'!$E$9:$E$14)+SUMPRODUCT((IFERROR(INDEX(Configuration!$B$5:$B$24,MATCH('Planning Chantier'!$C$16:$C$21,Configuration!$C$5:$C$24,0)),"")=B24)*'Planning Chantier'!$E$16:$E$21)+SUMPRODUCT((IFERROR(INDEX(Configuration!$B$5:$B$24,MATCH('Planning Chantier'!$C$23:$C$28,Configuration!$C$5:$C$24,0)),"")=B24)*'Planning Chantier'!$E$23:$E$28)+SUMPRODUCT((IFERROR(INDEX(Configuration!$B$5:$B$24,MATCH('Planning Chantier'!$C$30:$C$35,Configuration!$C$5:$C$24,0)),"")=B24)*'Planning Chantier'!$E$30:$E$35)+SUMPRODUCT((IFERROR(INDEX(Configuration!$B$5:$B$24,MATCH('Planning Chantier'!$C$37:$C$42,Configuration!$C$5:$C$24,0)),"")=B24)*'Planning Chantier'!$E$37:$E$42)+SUMPRODUCT((IFERROR(INDEX(Configuration!$B$5:$B$24,MATCH('Planning Chantier'!$C$44:$C$49,Configuration!$C$5:$C$24,0)),"")=B24)*'Planning Chantier'!$E$44:$E$49)</f>
        <v>0</v>
      </c>
    </row>
    <row r="25" customFormat="false" ht="15" hidden="false" customHeight="false" outlineLevel="0" collapsed="false">
      <c r="B25" s="13" t="s">
        <v>33</v>
      </c>
      <c r="C25" s="25" t="n">
        <f aca="false">SUMPRODUCT((IFERROR(INDEX(Configuration!$B$5:$B$24,MATCH('Planning Chantier'!$C$9:$C$14,Configuration!$C$5:$C$24,0)),"")=B25)*'Planning Chantier'!$E$9:$E$14)+SUMPRODUCT((IFERROR(INDEX(Configuration!$B$5:$B$24,MATCH('Planning Chantier'!$C$16:$C$21,Configuration!$C$5:$C$24,0)),"")=B25)*'Planning Chantier'!$E$16:$E$21)+SUMPRODUCT((IFERROR(INDEX(Configuration!$B$5:$B$24,MATCH('Planning Chantier'!$C$23:$C$28,Configuration!$C$5:$C$24,0)),"")=B25)*'Planning Chantier'!$E$23:$E$28)+SUMPRODUCT((IFERROR(INDEX(Configuration!$B$5:$B$24,MATCH('Planning Chantier'!$C$30:$C$35,Configuration!$C$5:$C$24,0)),"")=B25)*'Planning Chantier'!$E$30:$E$35)+SUMPRODUCT((IFERROR(INDEX(Configuration!$B$5:$B$24,MATCH('Planning Chantier'!$C$37:$C$42,Configuration!$C$5:$C$24,0)),"")=B25)*'Planning Chantier'!$E$37:$E$42)+SUMPRODUCT((IFERROR(INDEX(Configuration!$B$5:$B$24,MATCH('Planning Chantier'!$C$44:$C$49,Configuration!$C$5:$C$24,0)),"")=B25)*'Planning Chantier'!$E$44:$E$49)</f>
        <v>0</v>
      </c>
    </row>
    <row r="26" customFormat="false" ht="15" hidden="false" customHeight="false" outlineLevel="0" collapsed="false">
      <c r="B26" s="13" t="s">
        <v>106</v>
      </c>
      <c r="C26" s="25" t="n">
        <f aca="false">SUMPRODUCT((IFERROR(INDEX(Configuration!$B$5:$B$24,MATCH('Planning Chantier'!$C$9:$C$14,Configuration!$C$5:$C$24,0)),"")=B26)*'Planning Chantier'!$E$9:$E$14)+SUMPRODUCT((IFERROR(INDEX(Configuration!$B$5:$B$24,MATCH('Planning Chantier'!$C$16:$C$21,Configuration!$C$5:$C$24,0)),"")=B26)*'Planning Chantier'!$E$16:$E$21)+SUMPRODUCT((IFERROR(INDEX(Configuration!$B$5:$B$24,MATCH('Planning Chantier'!$C$23:$C$28,Configuration!$C$5:$C$24,0)),"")=B26)*'Planning Chantier'!$E$23:$E$28)+SUMPRODUCT((IFERROR(INDEX(Configuration!$B$5:$B$24,MATCH('Planning Chantier'!$C$30:$C$35,Configuration!$C$5:$C$24,0)),"")=B26)*'Planning Chantier'!$E$30:$E$35)+SUMPRODUCT((IFERROR(INDEX(Configuration!$B$5:$B$24,MATCH('Planning Chantier'!$C$37:$C$42,Configuration!$C$5:$C$24,0)),"")=B26)*'Planning Chantier'!$E$37:$E$42)+SUMPRODUCT((IFERROR(INDEX(Configuration!$B$5:$B$24,MATCH('Planning Chantier'!$C$44:$C$49,Configuration!$C$5:$C$24,0)),"")=B26)*'Planning Chantier'!$E$44:$E$49)</f>
        <v>0</v>
      </c>
    </row>
    <row r="27" customFormat="false" ht="15" hidden="false" customHeight="false" outlineLevel="0" collapsed="false">
      <c r="B27" s="13" t="s">
        <v>107</v>
      </c>
      <c r="C27" s="25" t="n">
        <f aca="false">SUMPRODUCT((IFERROR(INDEX(Configuration!$B$5:$B$24,MATCH('Planning Chantier'!$C$9:$C$14,Configuration!$C$5:$C$24,0)),"")=B27)*'Planning Chantier'!$E$9:$E$14)+SUMPRODUCT((IFERROR(INDEX(Configuration!$B$5:$B$24,MATCH('Planning Chantier'!$C$16:$C$21,Configuration!$C$5:$C$24,0)),"")=B27)*'Planning Chantier'!$E$16:$E$21)+SUMPRODUCT((IFERROR(INDEX(Configuration!$B$5:$B$24,MATCH('Planning Chantier'!$C$23:$C$28,Configuration!$C$5:$C$24,0)),"")=B27)*'Planning Chantier'!$E$23:$E$28)+SUMPRODUCT((IFERROR(INDEX(Configuration!$B$5:$B$24,MATCH('Planning Chantier'!$C$30:$C$35,Configuration!$C$5:$C$24,0)),"")=B27)*'Planning Chantier'!$E$30:$E$35)+SUMPRODUCT((IFERROR(INDEX(Configuration!$B$5:$B$24,MATCH('Planning Chantier'!$C$37:$C$42,Configuration!$C$5:$C$24,0)),"")=B27)*'Planning Chantier'!$E$37:$E$42)+SUMPRODUCT((IFERROR(INDEX(Configuration!$B$5:$B$24,MATCH('Planning Chantier'!$C$44:$C$49,Configuration!$C$5:$C$24,0)),"")=B27)*'Planning Chantier'!$E$44:$E$49)</f>
        <v>0</v>
      </c>
    </row>
  </sheetData>
  <mergeCells count="12">
    <mergeCell ref="A1:H1"/>
    <mergeCell ref="B3:C3"/>
    <mergeCell ref="D3:E3"/>
    <mergeCell ref="F3:G3"/>
    <mergeCell ref="H3:I3"/>
    <mergeCell ref="B4:C5"/>
    <mergeCell ref="D4:E5"/>
    <mergeCell ref="F4:G5"/>
    <mergeCell ref="H4:I5"/>
    <mergeCell ref="B8:C8"/>
    <mergeCell ref="E8:F8"/>
    <mergeCell ref="B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0"/>
  </cols>
  <sheetData>
    <row r="1" customFormat="false" ht="15" hidden="false" customHeight="false" outlineLevel="0" collapsed="false">
      <c r="A1" s="12" t="s">
        <v>108</v>
      </c>
      <c r="B1" s="12" t="s">
        <v>109</v>
      </c>
      <c r="C1" s="12" t="s">
        <v>110</v>
      </c>
    </row>
    <row r="2" customFormat="false" ht="15" hidden="false" customHeight="false" outlineLevel="0" collapsed="false">
      <c r="A2" s="0" t="s">
        <v>22</v>
      </c>
      <c r="B2" s="0" t="s">
        <v>77</v>
      </c>
      <c r="C2" s="0" t="s">
        <v>49</v>
      </c>
    </row>
    <row r="3" customFormat="false" ht="15" hidden="false" customHeight="false" outlineLevel="0" collapsed="false">
      <c r="A3" s="0" t="s">
        <v>25</v>
      </c>
      <c r="B3" s="0" t="s">
        <v>75</v>
      </c>
      <c r="C3" s="0" t="s">
        <v>55</v>
      </c>
    </row>
    <row r="4" customFormat="false" ht="15" hidden="false" customHeight="false" outlineLevel="0" collapsed="false">
      <c r="A4" s="0" t="s">
        <v>28</v>
      </c>
      <c r="B4" s="0" t="s">
        <v>73</v>
      </c>
    </row>
    <row r="5" customFormat="false" ht="15" hidden="false" customHeight="false" outlineLevel="0" collapsed="false">
      <c r="A5" s="0" t="s">
        <v>31</v>
      </c>
    </row>
    <row r="6" customFormat="false" ht="15" hidden="false" customHeight="false" outlineLevel="0" collapsed="false">
      <c r="A6" s="0" t="s">
        <v>105</v>
      </c>
    </row>
    <row r="7" customFormat="false" ht="15" hidden="false" customHeight="false" outlineLevel="0" collapsed="false">
      <c r="A7" s="0" t="s">
        <v>33</v>
      </c>
    </row>
    <row r="8" customFormat="false" ht="15" hidden="false" customHeight="false" outlineLevel="0" collapsed="false">
      <c r="A8" s="0" t="s">
        <v>106</v>
      </c>
    </row>
    <row r="9" customFormat="false" ht="15" hidden="false" customHeight="false" outlineLevel="0" collapsed="false">
      <c r="A9" s="0" t="s">
        <v>107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2026-09-08T13:39:16Z</dcterms:created>
  <dc:creator>openpyxl</dc:creator>
  <dc:description/>
  <dc:language>en-US</dc:language>
  <cp:lastModifiedBy/>
  <dcterms:modified xsi:type="dcterms:W3CDTF">2026-09-08T13:39:23Z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