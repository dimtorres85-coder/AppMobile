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Instructions" sheetId="1" state="visible" r:id="rId3"/>
    <sheet name="Planning Chantier" sheetId="2" state="visible" r:id="rId4"/>
    <sheet name="Récapitulatif" sheetId="3" state="visible" r:id="rId5"/>
    <sheet name="Listes" sheetId="4" state="hidden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<sst xmlns="http://schemas.openxmlformats.org/spreadsheetml/2006/main" count="102" uniqueCount="84">
  <si>
    <t xml:space="preserve">MODE D'EMPLOI DU PLANNING CHANTIER</t>
  </si>
  <si>
    <t xml:space="preserve">1. Onglet "Planning Chantier"</t>
  </si>
  <si>
    <t xml:space="preserve">C'est la table de travail. Chaque ligne = une tâche. Remplissez le Lot (liste déroulante), la Tâche, le Volume horaire estimé total (h) et le Responsable/Équipe.</t>
  </si>
  <si>
    <t xml:space="preserve">2. Répartir les heures sur plusieurs interventions</t>
  </si>
  <si>
    <t xml:space="preserve">Une même tâche peut être réalisée en plusieurs fois (ex : 3 demi-journées). Indiquez la date de chaque intervention en ligne 8 (fond jaune), puis saisissez le nombre d'heures effectuées à cette date, sur la ligne de la tâche concernée, dans la colonne "Interv. X" correspondante.</t>
  </si>
  <si>
    <t xml:space="preserve">3. Suivi automatique</t>
  </si>
  <si>
    <t xml:space="preserve">"Total heures réparties" additionne automatiquement les heures saisies sur les interventions. "Écart" = Volume estimé − Total réparti (vert = soldé, jaune = reste à planifier, rouge = sur-réparti, à corriger). "Avancement (%)" = Total réparti / Volume estimé.</t>
  </si>
  <si>
    <t xml:space="preserve">4. Statut</t>
  </si>
  <si>
    <t xml:space="preserve">Mettez à jour le Statut (À planifier / En cours / Terminé) via la liste déroulante.</t>
  </si>
  <si>
    <t xml:space="preserve">5. Plus de 6 interventions ?</t>
  </si>
  <si>
    <t xml:space="preserve">Sélectionnez une colonne d'intervention existante, clic droit &gt; Insérer, puis copiez la formule de "Total heures réparties" en élargissant la plage SUM pour inclure la nouvelle colonne.</t>
  </si>
  <si>
    <t xml:space="preserve">6. Onglet "Récapitulatif"</t>
  </si>
  <si>
    <t xml:space="preserve">Généré automatiquement à partir du Planning : indicateurs clés (heures estimées, réparties, écart, avancement global), répartition par lot et par intervention, avec graphiques prêts à être présentés au chef de projet.</t>
  </si>
  <si>
    <t xml:space="preserve">7. Code couleur</t>
  </si>
  <si>
    <t xml:space="preserve">Fond jaune / texte bleu = cellule à compléter. Fond gris = ligne d'exemple fournie à titre indicatif (à remplacer par vos propres tâches).</t>
  </si>
  <si>
    <t xml:space="preserve">PLANNING CHANTIER — QUANTIFICATION DES HEURES PAR TÂCHE</t>
  </si>
  <si>
    <t xml:space="preserve">Chantier :</t>
  </si>
  <si>
    <t xml:space="preserve">Nom du chantier</t>
  </si>
  <si>
    <t xml:space="preserve">Chef de projet :</t>
  </si>
  <si>
    <t xml:space="preserve">Nom du chef de projet</t>
  </si>
  <si>
    <t xml:space="preserve">Date d'édition :</t>
  </si>
  <si>
    <t xml:space="preserve">INTERVENTIONS — Répartition des heures par date</t>
  </si>
  <si>
    <t xml:space="preserve">N°</t>
  </si>
  <si>
    <t xml:space="preserve">Lot / Corps d'état</t>
  </si>
  <si>
    <t xml:space="preserve">Tâche</t>
  </si>
  <si>
    <t xml:space="preserve">Volume horaire
estimé (h)</t>
  </si>
  <si>
    <t xml:space="preserve">Responsable /
Équipe</t>
  </si>
  <si>
    <t xml:space="preserve">Statut</t>
  </si>
  <si>
    <t xml:space="preserve">Interv. 1</t>
  </si>
  <si>
    <t xml:space="preserve">Interv. 2</t>
  </si>
  <si>
    <t xml:space="preserve">Interv. 3</t>
  </si>
  <si>
    <t xml:space="preserve">Interv. 4</t>
  </si>
  <si>
    <t xml:space="preserve">Interv. 5</t>
  </si>
  <si>
    <t xml:space="preserve">Interv. 6</t>
  </si>
  <si>
    <t xml:space="preserve">Total heures
réparties (h)</t>
  </si>
  <si>
    <t xml:space="preserve">Écart
(h)</t>
  </si>
  <si>
    <t xml:space="preserve">Avancement
(%)</t>
  </si>
  <si>
    <t xml:space="preserve">Commentaires</t>
  </si>
  <si>
    <t xml:space="preserve">Date de l'intervention ▸</t>
  </si>
  <si>
    <t xml:space="preserve">Terrassement &amp; VRD</t>
  </si>
  <si>
    <t xml:space="preserve">Décaissement et nivellement plateforme</t>
  </si>
  <si>
    <t xml:space="preserve">Équipe A — J. Martin</t>
  </si>
  <si>
    <t xml:space="preserve">En cours</t>
  </si>
  <si>
    <t xml:space="preserve">Sol argileux, prévoir 1 rotation supplémentaire</t>
  </si>
  <si>
    <t xml:space="preserve">Gros œuvre</t>
  </si>
  <si>
    <t xml:space="preserve">Coulage fondations semelles filées</t>
  </si>
  <si>
    <t xml:space="preserve">Équipe B — L. Dupuis</t>
  </si>
  <si>
    <t xml:space="preserve">À planifier</t>
  </si>
  <si>
    <t xml:space="preserve">En attente validation étude sol</t>
  </si>
  <si>
    <t xml:space="preserve">Second œuvre - Électricité</t>
  </si>
  <si>
    <t xml:space="preserve">Tirage câbles électriques RDC</t>
  </si>
  <si>
    <t xml:space="preserve">Équipe C — R. Bernard</t>
  </si>
  <si>
    <t xml:space="preserve">Terminé</t>
  </si>
  <si>
    <t xml:space="preserve">RAS — conforme au DCE</t>
  </si>
  <si>
    <t xml:space="preserve">TOTAL</t>
  </si>
  <si>
    <t xml:space="preserve">Légende :</t>
  </si>
  <si>
    <t xml:space="preserve">Cellule jaune = à compléter par vous</t>
  </si>
  <si>
    <t xml:space="preserve">Lignes grisées = exemple fourni à titre indicatif, à remplacer/compléter</t>
  </si>
  <si>
    <t xml:space="preserve">Écart = Volume estimé - Total réparti. Rouge = sur-réparti (erreur), Jaune = reste à planifier, Vert = soldeé.</t>
  </si>
  <si>
    <t xml:space="preserve">Pour ajouter plus de 6 interventions : insérer une colonne entre L et M et copier la formule d'une colonne voisine.</t>
  </si>
  <si>
    <t xml:space="preserve">RÉCAPITULATIF — SYNTHÈSE POUR LE CHEF DE PROJET</t>
  </si>
  <si>
    <t xml:space="preserve">Heures totales estimées</t>
  </si>
  <si>
    <t xml:space="preserve">Heures réparties</t>
  </si>
  <si>
    <t xml:space="preserve">Écart global</t>
  </si>
  <si>
    <t xml:space="preserve">Avancement global</t>
  </si>
  <si>
    <t xml:space="preserve">RÉPARTITION PAR LOT / CORPS D'ÉTAT</t>
  </si>
  <si>
    <t xml:space="preserve">RÉPARTITION PAR INTERVENTION</t>
  </si>
  <si>
    <t xml:space="preserve">Heures estimées (h)</t>
  </si>
  <si>
    <t xml:space="preserve">Heures réparties (h)</t>
  </si>
  <si>
    <t xml:space="preserve">Intervention</t>
  </si>
  <si>
    <t xml:space="preserve">Date</t>
  </si>
  <si>
    <t xml:space="preserve">Intervention 1</t>
  </si>
  <si>
    <t xml:space="preserve">Intervention 2</t>
  </si>
  <si>
    <t xml:space="preserve">Charpente / Couverture</t>
  </si>
  <si>
    <t xml:space="preserve">Intervention 3</t>
  </si>
  <si>
    <t xml:space="preserve">Intervention 4</t>
  </si>
  <si>
    <t xml:space="preserve">Second œuvre - Plomberie</t>
  </si>
  <si>
    <t xml:space="preserve">Intervention 5</t>
  </si>
  <si>
    <t xml:space="preserve">Second œuvre - Isolation/Cloisons</t>
  </si>
  <si>
    <t xml:space="preserve">Intervention 6</t>
  </si>
  <si>
    <t xml:space="preserve">Finitions</t>
  </si>
  <si>
    <t xml:space="preserve">Nettoyage / Réception</t>
  </si>
  <si>
    <t xml:space="preserve">Lots / Corps d'état</t>
  </si>
  <si>
    <t xml:space="preserve">Statuts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</si>
</sst>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dd/mm/yyyy"/>
    <numFmt numFmtId="166" formatCode="dd/mm"/>
    <numFmt numFmtId="167" formatCode="0.0"/>
    <numFmt numFmtId="168" formatCode="0%"/>
    <numFmt numFmtId="169" formatCode="0.0&quot; h&quot;"/>
  </numFmts>
  <fonts count="1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Arial"/>
      <family val="0"/>
      <charset val="1"/>
    </font>
    <font>
      <b val="true"/>
      <sz val="12"/>
      <color rgb="FF1F4E78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i val="true"/>
      <sz val="9"/>
      <color rgb="FF7F7F7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20"/>
      <color rgb="FF1F4E78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FFFF99"/>
        <bgColor rgb="FFFFEB9C"/>
      </patternFill>
    </fill>
    <fill>
      <patternFill patternType="solid">
        <fgColor rgb="FF2E75B6"/>
        <bgColor rgb="FF4F81BD"/>
      </patternFill>
    </fill>
    <fill>
      <patternFill patternType="solid">
        <fgColor rgb="FFD9E2F3"/>
        <bgColor rgb="FFD9D9D9"/>
      </patternFill>
    </fill>
    <fill>
      <patternFill patternType="solid">
        <fgColor rgb="FFF2F2F2"/>
        <bgColor rgb="FFF9F9F9"/>
      </patternFill>
    </fill>
    <fill>
      <patternFill patternType="solid">
        <fgColor rgb="FFBDD7EE"/>
        <bgColor rgb="FFD9D9D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3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3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5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8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7" fontId="6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7" fontId="6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7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7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3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12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12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ont>
        <name val="Arial"/>
        <charset val="1"/>
        <family val="0"/>
        <color rgb="FF9C0006"/>
      </font>
      <fill>
        <patternFill>
          <bgColor rgb="FFF8696B"/>
        </patternFill>
      </fill>
    </dxf>
    <dxf>
      <font>
        <name val="Arial"/>
        <charset val="1"/>
        <family val="0"/>
        <color rgb="FF006100"/>
      </font>
      <fill>
        <patternFill>
          <bgColor rgb="FFC6EFCE"/>
        </patternFill>
      </fill>
    </dxf>
    <dxf>
      <font>
        <name val="Arial"/>
        <charset val="1"/>
        <family val="0"/>
        <color rgb="FF9C6500"/>
      </font>
      <fill>
        <patternFill>
          <bgColor rgb="FFFFEB9C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9C6500"/>
      <rgbColor rgb="FF800080"/>
      <rgbColor rgb="FF008080"/>
      <rgbColor rgb="FFB7B7B7"/>
      <rgbColor rgb="FF7F7F7F"/>
      <rgbColor rgb="FF9999FF"/>
      <rgbColor rgb="FFC0504D"/>
      <rgbColor rgb="FFF9F9F9"/>
      <rgbColor rgb="FFF2F2F2"/>
      <rgbColor rgb="FF660066"/>
      <rgbColor rgb="FFF8696B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9E2F3"/>
      <rgbColor rgb="FFC6EFCE"/>
      <rgbColor rgb="FFFFFF99"/>
      <rgbColor rgb="FFD9D9D9"/>
      <rgbColor rgb="FFFF99CC"/>
      <rgbColor rgb="FFCC99FF"/>
      <rgbColor rgb="FFFFEB9C"/>
      <rgbColor rgb="FF2E75B6"/>
      <rgbColor rgb="FF33CCCC"/>
      <rgbColor rgb="FF99CC00"/>
      <rgbColor rgb="FFFFCC00"/>
      <rgbColor rgb="FFFF9900"/>
      <rgbColor rgb="FFFF6600"/>
      <rgbColor rgb="FF4F81BD"/>
      <rgbColor rgb="FF878787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Heures estimées vs réparties par lot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Récapitulatif!C9</c:f>
              <c:strCache>
                <c:ptCount val="1"/>
                <c:pt idx="0">
                  <c:v>Heures estimées (h)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Récapitulatif!$B$10:$B$17</c:f>
              <c:strCache>
                <c:ptCount val="8"/>
                <c:pt idx="0">
                  <c:v>Terrassement &amp; VRD</c:v>
                </c:pt>
                <c:pt idx="1">
                  <c:v>Gros œuvre</c:v>
                </c:pt>
                <c:pt idx="2">
                  <c:v>Charpente / Couverture</c:v>
                </c:pt>
                <c:pt idx="3">
                  <c:v>Second œuvre - Électricité</c:v>
                </c:pt>
                <c:pt idx="4">
                  <c:v>Second œuvre - Plomberie</c:v>
                </c:pt>
                <c:pt idx="5">
                  <c:v>Second œuvre - Isolation/Cloisons</c:v>
                </c:pt>
                <c:pt idx="6">
                  <c:v>Finitions</c:v>
                </c:pt>
                <c:pt idx="7">
                  <c:v>Nettoyage / Réception</c:v>
                </c:pt>
              </c:strCache>
            </c:strRef>
          </c:cat>
          <c:val>
            <c:numRef>
              <c:f>Récapitulatif!$C$10:$C$17</c:f>
              <c:numCache>
                <c:formatCode>0.0</c:formatCode>
                <c:ptCount val="8"/>
                <c:pt idx="0">
                  <c:v>32</c:v>
                </c:pt>
                <c:pt idx="1">
                  <c:v>40</c:v>
                </c:pt>
                <c:pt idx="2">
                  <c:v>0</c:v>
                </c:pt>
                <c:pt idx="3">
                  <c:v>16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</c:ser>
        <c:ser>
          <c:idx val="1"/>
          <c:order val="1"/>
          <c:tx>
            <c:strRef>
              <c:f>Récapitulatif!D9</c:f>
              <c:strCache>
                <c:ptCount val="1"/>
                <c:pt idx="0">
                  <c:v>Heures réparties (h)</c:v>
                </c:pt>
              </c:strCache>
            </c:strRef>
          </c:tx>
          <c:spPr>
            <a:solidFill>
              <a:srgbClr val="c0504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Récapitulatif!$B$10:$B$17</c:f>
              <c:strCache>
                <c:ptCount val="8"/>
                <c:pt idx="0">
                  <c:v>Terrassement &amp; VRD</c:v>
                </c:pt>
                <c:pt idx="1">
                  <c:v>Gros œuvre</c:v>
                </c:pt>
                <c:pt idx="2">
                  <c:v>Charpente / Couverture</c:v>
                </c:pt>
                <c:pt idx="3">
                  <c:v>Second œuvre - Électricité</c:v>
                </c:pt>
                <c:pt idx="4">
                  <c:v>Second œuvre - Plomberie</c:v>
                </c:pt>
                <c:pt idx="5">
                  <c:v>Second œuvre - Isolation/Cloisons</c:v>
                </c:pt>
                <c:pt idx="6">
                  <c:v>Finitions</c:v>
                </c:pt>
                <c:pt idx="7">
                  <c:v>Nettoyage / Réception</c:v>
                </c:pt>
              </c:strCache>
            </c:strRef>
          </c:cat>
          <c:val>
            <c:numRef>
              <c:f>Récapitulatif!$D$10:$D$17</c:f>
              <c:numCache>
                <c:formatCode>0.0</c:formatCode>
                <c:ptCount val="8"/>
                <c:pt idx="0">
                  <c:v>24</c:v>
                </c:pt>
                <c:pt idx="1">
                  <c:v>0</c:v>
                </c:pt>
                <c:pt idx="2">
                  <c:v>0</c:v>
                </c:pt>
                <c:pt idx="3">
                  <c:v>16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</c:ser>
        <c:gapWidth val="150"/>
        <c:overlap val="0"/>
        <c:axId val="13527607"/>
        <c:axId val="14580653"/>
      </c:barChart>
      <c:catAx>
        <c:axId val="13527607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Lot / Corps d'état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4580653"/>
        <c:crosses val="autoZero"/>
        <c:auto val="1"/>
        <c:lblAlgn val="ctr"/>
        <c:lblOffset val="100"/>
        <c:noMultiLvlLbl val="0"/>
      </c:catAx>
      <c:valAx>
        <c:axId val="14580653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Heures (h)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3527607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Charge horaire par intervention (date)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Récapitulatif!H9</c:f>
              <c:strCache>
                <c:ptCount val="1"/>
                <c:pt idx="0">
                  <c:v>Heures réparties (h)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Récapitulatif!$F$10:$F$15</c:f>
              <c:strCache>
                <c:ptCount val="6"/>
                <c:pt idx="0">
                  <c:v>Intervention 1</c:v>
                </c:pt>
                <c:pt idx="1">
                  <c:v>Intervention 2</c:v>
                </c:pt>
                <c:pt idx="2">
                  <c:v>Intervention 3</c:v>
                </c:pt>
                <c:pt idx="3">
                  <c:v>Intervention 4</c:v>
                </c:pt>
                <c:pt idx="4">
                  <c:v>Intervention 5</c:v>
                </c:pt>
                <c:pt idx="5">
                  <c:v>Intervention 6</c:v>
                </c:pt>
              </c:strCache>
            </c:strRef>
          </c:cat>
          <c:val>
            <c:numRef>
              <c:f>Récapitulatif!$H$10:$H$15</c:f>
              <c:numCache>
                <c:formatCode>0.0</c:formatCode>
                <c:ptCount val="6"/>
                <c:pt idx="0">
                  <c:v>16</c:v>
                </c:pt>
                <c:pt idx="1">
                  <c:v>16</c:v>
                </c:pt>
                <c:pt idx="2">
                  <c:v>8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</c:ser>
        <c:gapWidth val="150"/>
        <c:overlap val="0"/>
        <c:axId val="65730051"/>
        <c:axId val="9667969"/>
      </c:barChart>
      <c:catAx>
        <c:axId val="65730051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Intervention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667969"/>
        <c:crosses val="autoZero"/>
        <c:auto val="1"/>
        <c:lblAlgn val="ctr"/>
        <c:lblOffset val="100"/>
        <c:noMultiLvlLbl val="0"/>
      </c:catAx>
      <c:valAx>
        <c:axId val="9667969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Heures (h)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5730051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19</xdr:row>
      <xdr:rowOff>0</xdr:rowOff>
    </xdr:from>
    <xdr:to>
      <xdr:col>5</xdr:col>
      <xdr:colOff>345600</xdr:colOff>
      <xdr:row>36</xdr:row>
      <xdr:rowOff>1080</xdr:rowOff>
    </xdr:to>
    <xdr:graphicFrame>
      <xdr:nvGraphicFramePr>
        <xdr:cNvPr id="0" name="Chart 1"/>
        <xdr:cNvGraphicFramePr/>
      </xdr:nvGraphicFramePr>
      <xdr:xfrm>
        <a:off x="266760" y="3924360"/>
        <a:ext cx="647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5</xdr:col>
      <xdr:colOff>0</xdr:colOff>
      <xdr:row>17</xdr:row>
      <xdr:rowOff>0</xdr:rowOff>
    </xdr:from>
    <xdr:to>
      <xdr:col>9</xdr:col>
      <xdr:colOff>209160</xdr:colOff>
      <xdr:row>34</xdr:row>
      <xdr:rowOff>1440</xdr:rowOff>
    </xdr:to>
    <xdr:graphicFrame>
      <xdr:nvGraphicFramePr>
        <xdr:cNvPr id="1" name="Chart 2"/>
        <xdr:cNvGraphicFramePr/>
      </xdr:nvGraphicFramePr>
      <xdr:xfrm>
        <a:off x="6400800" y="3543480"/>
        <a:ext cx="647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100"/>
  </cols>
  <sheetData>
    <row r="1" customFormat="false" ht="25.5" hidden="false" customHeight="true" outlineLevel="0" collapsed="false">
      <c r="A1" s="1" t="s">
        <v>0</v>
      </c>
      <c r="B1" s="1"/>
    </row>
    <row r="3" customFormat="false" ht="15" hidden="false" customHeight="false" outlineLevel="0" collapsed="false">
      <c r="A3" s="2" t="s">
        <v>1</v>
      </c>
      <c r="B3" s="2"/>
    </row>
    <row r="4" customFormat="false" ht="33.75" hidden="false" customHeight="true" outlineLevel="0" collapsed="false">
      <c r="A4" s="3" t="s">
        <v>2</v>
      </c>
      <c r="B4" s="3"/>
    </row>
    <row r="6" customFormat="false" ht="15" hidden="false" customHeight="false" outlineLevel="0" collapsed="false">
      <c r="A6" s="2" t="s">
        <v>3</v>
      </c>
      <c r="B6" s="2"/>
    </row>
    <row r="7" customFormat="false" ht="33.75" hidden="false" customHeight="true" outlineLevel="0" collapsed="false">
      <c r="A7" s="3" t="s">
        <v>4</v>
      </c>
      <c r="B7" s="3"/>
    </row>
    <row r="9" customFormat="false" ht="15" hidden="false" customHeight="false" outlineLevel="0" collapsed="false">
      <c r="A9" s="2" t="s">
        <v>5</v>
      </c>
      <c r="B9" s="2"/>
    </row>
    <row r="10" customFormat="false" ht="33.75" hidden="false" customHeight="true" outlineLevel="0" collapsed="false">
      <c r="A10" s="3" t="s">
        <v>6</v>
      </c>
      <c r="B10" s="3"/>
    </row>
    <row r="12" customFormat="false" ht="15" hidden="false" customHeight="false" outlineLevel="0" collapsed="false">
      <c r="A12" s="2" t="s">
        <v>7</v>
      </c>
      <c r="B12" s="2"/>
    </row>
    <row r="13" customFormat="false" ht="33.75" hidden="false" customHeight="true" outlineLevel="0" collapsed="false">
      <c r="A13" s="3" t="s">
        <v>8</v>
      </c>
      <c r="B13" s="3"/>
    </row>
    <row r="15" customFormat="false" ht="15" hidden="false" customHeight="false" outlineLevel="0" collapsed="false">
      <c r="A15" s="2" t="s">
        <v>9</v>
      </c>
      <c r="B15" s="2"/>
    </row>
    <row r="16" customFormat="false" ht="33.75" hidden="false" customHeight="true" outlineLevel="0" collapsed="false">
      <c r="A16" s="3" t="s">
        <v>10</v>
      </c>
      <c r="B16" s="3"/>
    </row>
    <row r="18" customFormat="false" ht="15" hidden="false" customHeight="false" outlineLevel="0" collapsed="false">
      <c r="A18" s="2" t="s">
        <v>11</v>
      </c>
      <c r="B18" s="2"/>
    </row>
    <row r="19" customFormat="false" ht="33.75" hidden="false" customHeight="true" outlineLevel="0" collapsed="false">
      <c r="A19" s="3" t="s">
        <v>12</v>
      </c>
      <c r="B19" s="3"/>
    </row>
    <row r="21" customFormat="false" ht="15" hidden="false" customHeight="false" outlineLevel="0" collapsed="false">
      <c r="A21" s="2" t="s">
        <v>13</v>
      </c>
      <c r="B21" s="2"/>
    </row>
    <row r="22" customFormat="false" ht="33.75" hidden="false" customHeight="true" outlineLevel="0" collapsed="false">
      <c r="A22" s="3" t="s">
        <v>14</v>
      </c>
      <c r="B22" s="3"/>
    </row>
  </sheetData>
  <mergeCells count="15">
    <mergeCell ref="A1:B1"/>
    <mergeCell ref="A3:B3"/>
    <mergeCell ref="A4:B4"/>
    <mergeCell ref="A6:B6"/>
    <mergeCell ref="A7:B7"/>
    <mergeCell ref="A9:B9"/>
    <mergeCell ref="A10:B10"/>
    <mergeCell ref="A12:B12"/>
    <mergeCell ref="A13:B13"/>
    <mergeCell ref="A15:B15"/>
    <mergeCell ref="A16:B16"/>
    <mergeCell ref="A18:B18"/>
    <mergeCell ref="A19:B19"/>
    <mergeCell ref="A21:B21"/>
    <mergeCell ref="A22:B2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35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3" ySplit="8" topLeftCell="D9" activePane="bottomRight" state="frozen"/>
      <selection pane="topLeft" activeCell="A1" activeCellId="0" sqref="A1"/>
      <selection pane="topRight" activeCell="D1" activeCellId="0" sqref="D1"/>
      <selection pane="bottomLeft" activeCell="A9" activeCellId="0" sqref="A9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5"/>
    <col collapsed="false" customWidth="true" hidden="false" outlineLevel="0" max="3" min="3" style="0" width="34"/>
    <col collapsed="false" customWidth="true" hidden="false" outlineLevel="0" max="4" min="4" style="0" width="12"/>
    <col collapsed="false" customWidth="true" hidden="false" outlineLevel="0" max="5" min="5" style="0" width="18"/>
    <col collapsed="false" customWidth="true" hidden="false" outlineLevel="0" max="6" min="6" style="0" width="13"/>
    <col collapsed="false" customWidth="true" hidden="false" outlineLevel="0" max="12" min="7" style="0" width="11"/>
    <col collapsed="false" customWidth="true" hidden="false" outlineLevel="0" max="13" min="13" style="0" width="13"/>
    <col collapsed="false" customWidth="true" hidden="false" outlineLevel="0" max="14" min="14" style="0" width="11"/>
    <col collapsed="false" customWidth="true" hidden="false" outlineLevel="0" max="15" min="15" style="0" width="12"/>
    <col collapsed="false" customWidth="true" hidden="false" outlineLevel="0" max="16" min="16" style="0" width="30"/>
  </cols>
  <sheetData>
    <row r="1" customFormat="false" ht="25.5" hidden="false" customHeight="true" outlineLevel="0" collapsed="false">
      <c r="A1" s="1" t="s">
        <v>15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customFormat="false" ht="15" hidden="false" customHeight="true" outlineLevel="0" collapsed="false">
      <c r="A2" s="4" t="s">
        <v>16</v>
      </c>
      <c r="B2" s="4"/>
      <c r="C2" s="4"/>
      <c r="D2" s="4"/>
      <c r="E2" s="5" t="s">
        <v>17</v>
      </c>
      <c r="F2" s="5"/>
      <c r="G2" s="5"/>
      <c r="H2" s="5"/>
      <c r="I2" s="6"/>
      <c r="J2" s="6"/>
    </row>
    <row r="3" customFormat="false" ht="15" hidden="false" customHeight="true" outlineLevel="0" collapsed="false">
      <c r="A3" s="4" t="s">
        <v>18</v>
      </c>
      <c r="B3" s="4"/>
      <c r="C3" s="4"/>
      <c r="D3" s="4"/>
      <c r="E3" s="5" t="s">
        <v>19</v>
      </c>
      <c r="F3" s="5"/>
      <c r="G3" s="5"/>
      <c r="H3" s="5"/>
    </row>
    <row r="4" customFormat="false" ht="15" hidden="false" customHeight="true" outlineLevel="0" collapsed="false">
      <c r="A4" s="4" t="s">
        <v>20</v>
      </c>
      <c r="B4" s="4"/>
      <c r="C4" s="4"/>
      <c r="D4" s="4"/>
      <c r="E4" s="7" t="n">
        <v>46261</v>
      </c>
      <c r="F4" s="7"/>
      <c r="G4" s="7"/>
      <c r="H4" s="7"/>
    </row>
    <row r="5" customFormat="false" ht="6" hidden="false" customHeight="true" outlineLevel="0" collapsed="false"/>
    <row r="6" customFormat="false" ht="15" hidden="false" customHeight="true" outlineLevel="0" collapsed="false">
      <c r="G6" s="8" t="s">
        <v>21</v>
      </c>
      <c r="H6" s="8"/>
      <c r="I6" s="8"/>
      <c r="J6" s="8"/>
      <c r="K6" s="8"/>
      <c r="L6" s="8"/>
    </row>
    <row r="7" customFormat="false" ht="39.55" hidden="false" customHeight="false" outlineLevel="0" collapsed="false">
      <c r="A7" s="8" t="s">
        <v>22</v>
      </c>
      <c r="B7" s="8" t="s">
        <v>23</v>
      </c>
      <c r="C7" s="8" t="s">
        <v>24</v>
      </c>
      <c r="D7" s="8" t="s">
        <v>25</v>
      </c>
      <c r="E7" s="8" t="s">
        <v>26</v>
      </c>
      <c r="F7" s="8" t="s">
        <v>27</v>
      </c>
      <c r="G7" s="8" t="s">
        <v>28</v>
      </c>
      <c r="H7" s="8" t="s">
        <v>29</v>
      </c>
      <c r="I7" s="8" t="s">
        <v>30</v>
      </c>
      <c r="J7" s="8" t="s">
        <v>31</v>
      </c>
      <c r="K7" s="8" t="s">
        <v>32</v>
      </c>
      <c r="L7" s="8" t="s">
        <v>33</v>
      </c>
      <c r="M7" s="8" t="s">
        <v>34</v>
      </c>
      <c r="N7" s="8" t="s">
        <v>35</v>
      </c>
      <c r="O7" s="8" t="s">
        <v>36</v>
      </c>
      <c r="P7" s="8" t="s">
        <v>37</v>
      </c>
    </row>
    <row r="8" customFormat="false" ht="15.75" hidden="false" customHeight="true" outlineLevel="0" collapsed="false">
      <c r="A8" s="9"/>
      <c r="B8" s="9"/>
      <c r="C8" s="10" t="s">
        <v>38</v>
      </c>
      <c r="D8" s="9"/>
      <c r="E8" s="9"/>
      <c r="F8" s="9"/>
      <c r="G8" s="11" t="n">
        <v>46266</v>
      </c>
      <c r="H8" s="11" t="n">
        <v>46268</v>
      </c>
      <c r="I8" s="11" t="n">
        <v>46273</v>
      </c>
      <c r="J8" s="12"/>
      <c r="K8" s="12"/>
      <c r="L8" s="12"/>
      <c r="M8" s="9"/>
      <c r="N8" s="9"/>
      <c r="O8" s="9"/>
      <c r="P8" s="9"/>
    </row>
    <row r="9" customFormat="false" ht="25.5" hidden="false" customHeight="true" outlineLevel="0" collapsed="false">
      <c r="A9" s="13" t="n">
        <v>1</v>
      </c>
      <c r="B9" s="14" t="s">
        <v>39</v>
      </c>
      <c r="C9" s="14" t="s">
        <v>40</v>
      </c>
      <c r="D9" s="15" t="n">
        <v>32</v>
      </c>
      <c r="E9" s="14" t="s">
        <v>41</v>
      </c>
      <c r="F9" s="13" t="s">
        <v>42</v>
      </c>
      <c r="G9" s="15" t="n">
        <v>8</v>
      </c>
      <c r="H9" s="15" t="n">
        <v>8</v>
      </c>
      <c r="I9" s="15" t="n">
        <v>8</v>
      </c>
      <c r="J9" s="15"/>
      <c r="K9" s="15"/>
      <c r="L9" s="15"/>
      <c r="M9" s="16" t="n">
        <f aca="false">SUM(G9:L9)</f>
        <v>24</v>
      </c>
      <c r="N9" s="16" t="n">
        <f aca="false">D9-M9</f>
        <v>8</v>
      </c>
      <c r="O9" s="17" t="n">
        <f aca="false">IFERROR(M9/D9,0)</f>
        <v>0.75</v>
      </c>
      <c r="P9" s="14" t="s">
        <v>43</v>
      </c>
    </row>
    <row r="10" customFormat="false" ht="25.5" hidden="false" customHeight="true" outlineLevel="0" collapsed="false">
      <c r="A10" s="13" t="n">
        <v>2</v>
      </c>
      <c r="B10" s="14" t="s">
        <v>44</v>
      </c>
      <c r="C10" s="14" t="s">
        <v>45</v>
      </c>
      <c r="D10" s="15" t="n">
        <v>40</v>
      </c>
      <c r="E10" s="14" t="s">
        <v>46</v>
      </c>
      <c r="F10" s="13" t="s">
        <v>47</v>
      </c>
      <c r="G10" s="15"/>
      <c r="H10" s="15"/>
      <c r="I10" s="15"/>
      <c r="J10" s="15"/>
      <c r="K10" s="15"/>
      <c r="L10" s="15"/>
      <c r="M10" s="16" t="n">
        <f aca="false">SUM(G10:L10)</f>
        <v>0</v>
      </c>
      <c r="N10" s="16" t="n">
        <f aca="false">D10-M10</f>
        <v>40</v>
      </c>
      <c r="O10" s="17" t="n">
        <f aca="false">IFERROR(M10/D10,0)</f>
        <v>0</v>
      </c>
      <c r="P10" s="14" t="s">
        <v>48</v>
      </c>
    </row>
    <row r="11" customFormat="false" ht="25.5" hidden="false" customHeight="true" outlineLevel="0" collapsed="false">
      <c r="A11" s="13" t="n">
        <v>3</v>
      </c>
      <c r="B11" s="14" t="s">
        <v>49</v>
      </c>
      <c r="C11" s="14" t="s">
        <v>50</v>
      </c>
      <c r="D11" s="15" t="n">
        <v>16</v>
      </c>
      <c r="E11" s="14" t="s">
        <v>51</v>
      </c>
      <c r="F11" s="13" t="s">
        <v>52</v>
      </c>
      <c r="G11" s="15" t="n">
        <v>8</v>
      </c>
      <c r="H11" s="15" t="n">
        <v>8</v>
      </c>
      <c r="I11" s="15"/>
      <c r="J11" s="15"/>
      <c r="K11" s="15"/>
      <c r="L11" s="15"/>
      <c r="M11" s="16" t="n">
        <f aca="false">SUM(G11:L11)</f>
        <v>16</v>
      </c>
      <c r="N11" s="16" t="n">
        <f aca="false">D11-M11</f>
        <v>0</v>
      </c>
      <c r="O11" s="17" t="n">
        <f aca="false">IFERROR(M11/D11,0)</f>
        <v>1</v>
      </c>
      <c r="P11" s="14" t="s">
        <v>53</v>
      </c>
    </row>
    <row r="12" customFormat="false" ht="25.5" hidden="false" customHeight="true" outlineLevel="0" collapsed="false">
      <c r="A12" s="18" t="n">
        <v>4</v>
      </c>
      <c r="B12" s="19"/>
      <c r="C12" s="19"/>
      <c r="D12" s="20"/>
      <c r="E12" s="19"/>
      <c r="F12" s="21"/>
      <c r="G12" s="20"/>
      <c r="H12" s="20"/>
      <c r="I12" s="20"/>
      <c r="J12" s="20"/>
      <c r="K12" s="20"/>
      <c r="L12" s="20"/>
      <c r="M12" s="16" t="n">
        <f aca="false">SUM(G12:L12)</f>
        <v>0</v>
      </c>
      <c r="N12" s="16" t="n">
        <f aca="false">D12-M12</f>
        <v>0</v>
      </c>
      <c r="O12" s="17" t="n">
        <f aca="false">IFERROR(M12/D12,0)</f>
        <v>0</v>
      </c>
      <c r="P12" s="19"/>
    </row>
    <row r="13" customFormat="false" ht="25.5" hidden="false" customHeight="true" outlineLevel="0" collapsed="false">
      <c r="A13" s="18" t="n">
        <v>5</v>
      </c>
      <c r="B13" s="19"/>
      <c r="C13" s="19"/>
      <c r="D13" s="20"/>
      <c r="E13" s="19"/>
      <c r="F13" s="21"/>
      <c r="G13" s="20"/>
      <c r="H13" s="20"/>
      <c r="I13" s="20"/>
      <c r="J13" s="20"/>
      <c r="K13" s="20"/>
      <c r="L13" s="20"/>
      <c r="M13" s="16" t="n">
        <f aca="false">SUM(G13:L13)</f>
        <v>0</v>
      </c>
      <c r="N13" s="16" t="n">
        <f aca="false">D13-M13</f>
        <v>0</v>
      </c>
      <c r="O13" s="17" t="n">
        <f aca="false">IFERROR(M13/D13,0)</f>
        <v>0</v>
      </c>
      <c r="P13" s="19"/>
    </row>
    <row r="14" customFormat="false" ht="25.5" hidden="false" customHeight="true" outlineLevel="0" collapsed="false">
      <c r="A14" s="18" t="n">
        <v>6</v>
      </c>
      <c r="B14" s="19"/>
      <c r="C14" s="19"/>
      <c r="D14" s="20"/>
      <c r="E14" s="19"/>
      <c r="F14" s="21"/>
      <c r="G14" s="20"/>
      <c r="H14" s="20"/>
      <c r="I14" s="20"/>
      <c r="J14" s="20"/>
      <c r="K14" s="20"/>
      <c r="L14" s="20"/>
      <c r="M14" s="16" t="n">
        <f aca="false">SUM(G14:L14)</f>
        <v>0</v>
      </c>
      <c r="N14" s="16" t="n">
        <f aca="false">D14-M14</f>
        <v>0</v>
      </c>
      <c r="O14" s="17" t="n">
        <f aca="false">IFERROR(M14/D14,0)</f>
        <v>0</v>
      </c>
      <c r="P14" s="19"/>
    </row>
    <row r="15" customFormat="false" ht="25.5" hidden="false" customHeight="true" outlineLevel="0" collapsed="false">
      <c r="A15" s="18" t="n">
        <v>7</v>
      </c>
      <c r="B15" s="19"/>
      <c r="C15" s="19"/>
      <c r="D15" s="20"/>
      <c r="E15" s="19"/>
      <c r="F15" s="21"/>
      <c r="G15" s="20"/>
      <c r="H15" s="20"/>
      <c r="I15" s="20"/>
      <c r="J15" s="20"/>
      <c r="K15" s="20"/>
      <c r="L15" s="20"/>
      <c r="M15" s="16" t="n">
        <f aca="false">SUM(G15:L15)</f>
        <v>0</v>
      </c>
      <c r="N15" s="16" t="n">
        <f aca="false">D15-M15</f>
        <v>0</v>
      </c>
      <c r="O15" s="17" t="n">
        <f aca="false">IFERROR(M15/D15,0)</f>
        <v>0</v>
      </c>
      <c r="P15" s="19"/>
    </row>
    <row r="16" customFormat="false" ht="25.5" hidden="false" customHeight="true" outlineLevel="0" collapsed="false">
      <c r="A16" s="18" t="n">
        <v>8</v>
      </c>
      <c r="B16" s="19"/>
      <c r="C16" s="19"/>
      <c r="D16" s="20"/>
      <c r="E16" s="19"/>
      <c r="F16" s="21"/>
      <c r="G16" s="20"/>
      <c r="H16" s="20"/>
      <c r="I16" s="20"/>
      <c r="J16" s="20"/>
      <c r="K16" s="20"/>
      <c r="L16" s="20"/>
      <c r="M16" s="16" t="n">
        <f aca="false">SUM(G16:L16)</f>
        <v>0</v>
      </c>
      <c r="N16" s="16" t="n">
        <f aca="false">D16-M16</f>
        <v>0</v>
      </c>
      <c r="O16" s="17" t="n">
        <f aca="false">IFERROR(M16/D16,0)</f>
        <v>0</v>
      </c>
      <c r="P16" s="19"/>
    </row>
    <row r="17" customFormat="false" ht="25.5" hidden="false" customHeight="true" outlineLevel="0" collapsed="false">
      <c r="A17" s="18" t="n">
        <v>9</v>
      </c>
      <c r="B17" s="19"/>
      <c r="C17" s="19"/>
      <c r="D17" s="20"/>
      <c r="E17" s="19"/>
      <c r="F17" s="21"/>
      <c r="G17" s="20"/>
      <c r="H17" s="20"/>
      <c r="I17" s="20"/>
      <c r="J17" s="20"/>
      <c r="K17" s="20"/>
      <c r="L17" s="20"/>
      <c r="M17" s="16" t="n">
        <f aca="false">SUM(G17:L17)</f>
        <v>0</v>
      </c>
      <c r="N17" s="16" t="n">
        <f aca="false">D17-M17</f>
        <v>0</v>
      </c>
      <c r="O17" s="17" t="n">
        <f aca="false">IFERROR(M17/D17,0)</f>
        <v>0</v>
      </c>
      <c r="P17" s="19"/>
    </row>
    <row r="18" customFormat="false" ht="25.5" hidden="false" customHeight="true" outlineLevel="0" collapsed="false">
      <c r="A18" s="18" t="n">
        <v>10</v>
      </c>
      <c r="B18" s="19"/>
      <c r="C18" s="19"/>
      <c r="D18" s="20"/>
      <c r="E18" s="19"/>
      <c r="F18" s="21"/>
      <c r="G18" s="20"/>
      <c r="H18" s="20"/>
      <c r="I18" s="20"/>
      <c r="J18" s="20"/>
      <c r="K18" s="20"/>
      <c r="L18" s="20"/>
      <c r="M18" s="16" t="n">
        <f aca="false">SUM(G18:L18)</f>
        <v>0</v>
      </c>
      <c r="N18" s="16" t="n">
        <f aca="false">D18-M18</f>
        <v>0</v>
      </c>
      <c r="O18" s="17" t="n">
        <f aca="false">IFERROR(M18/D18,0)</f>
        <v>0</v>
      </c>
      <c r="P18" s="19"/>
    </row>
    <row r="19" customFormat="false" ht="25.5" hidden="false" customHeight="true" outlineLevel="0" collapsed="false">
      <c r="A19" s="18" t="n">
        <v>11</v>
      </c>
      <c r="B19" s="19"/>
      <c r="C19" s="19"/>
      <c r="D19" s="20"/>
      <c r="E19" s="19"/>
      <c r="F19" s="21"/>
      <c r="G19" s="20"/>
      <c r="H19" s="20"/>
      <c r="I19" s="20"/>
      <c r="J19" s="20"/>
      <c r="K19" s="20"/>
      <c r="L19" s="20"/>
      <c r="M19" s="16" t="n">
        <f aca="false">SUM(G19:L19)</f>
        <v>0</v>
      </c>
      <c r="N19" s="16" t="n">
        <f aca="false">D19-M19</f>
        <v>0</v>
      </c>
      <c r="O19" s="17" t="n">
        <f aca="false">IFERROR(M19/D19,0)</f>
        <v>0</v>
      </c>
      <c r="P19" s="19"/>
    </row>
    <row r="20" customFormat="false" ht="25.5" hidden="false" customHeight="true" outlineLevel="0" collapsed="false">
      <c r="A20" s="18" t="n">
        <v>12</v>
      </c>
      <c r="B20" s="19"/>
      <c r="C20" s="19"/>
      <c r="D20" s="20"/>
      <c r="E20" s="19"/>
      <c r="F20" s="21"/>
      <c r="G20" s="20"/>
      <c r="H20" s="20"/>
      <c r="I20" s="20"/>
      <c r="J20" s="20"/>
      <c r="K20" s="20"/>
      <c r="L20" s="20"/>
      <c r="M20" s="16" t="n">
        <f aca="false">SUM(G20:L20)</f>
        <v>0</v>
      </c>
      <c r="N20" s="16" t="n">
        <f aca="false">D20-M20</f>
        <v>0</v>
      </c>
      <c r="O20" s="17" t="n">
        <f aca="false">IFERROR(M20/D20,0)</f>
        <v>0</v>
      </c>
      <c r="P20" s="19"/>
    </row>
    <row r="21" customFormat="false" ht="25.5" hidden="false" customHeight="true" outlineLevel="0" collapsed="false">
      <c r="A21" s="18" t="n">
        <v>13</v>
      </c>
      <c r="B21" s="19"/>
      <c r="C21" s="19"/>
      <c r="D21" s="20"/>
      <c r="E21" s="19"/>
      <c r="F21" s="21"/>
      <c r="G21" s="20"/>
      <c r="H21" s="20"/>
      <c r="I21" s="20"/>
      <c r="J21" s="20"/>
      <c r="K21" s="20"/>
      <c r="L21" s="20"/>
      <c r="M21" s="16" t="n">
        <f aca="false">SUM(G21:L21)</f>
        <v>0</v>
      </c>
      <c r="N21" s="16" t="n">
        <f aca="false">D21-M21</f>
        <v>0</v>
      </c>
      <c r="O21" s="17" t="n">
        <f aca="false">IFERROR(M21/D21,0)</f>
        <v>0</v>
      </c>
      <c r="P21" s="19"/>
    </row>
    <row r="22" customFormat="false" ht="25.5" hidden="false" customHeight="true" outlineLevel="0" collapsed="false">
      <c r="A22" s="18" t="n">
        <v>14</v>
      </c>
      <c r="B22" s="19"/>
      <c r="C22" s="19"/>
      <c r="D22" s="20"/>
      <c r="E22" s="19"/>
      <c r="F22" s="21"/>
      <c r="G22" s="20"/>
      <c r="H22" s="20"/>
      <c r="I22" s="20"/>
      <c r="J22" s="20"/>
      <c r="K22" s="20"/>
      <c r="L22" s="20"/>
      <c r="M22" s="16" t="n">
        <f aca="false">SUM(G22:L22)</f>
        <v>0</v>
      </c>
      <c r="N22" s="16" t="n">
        <f aca="false">D22-M22</f>
        <v>0</v>
      </c>
      <c r="O22" s="17" t="n">
        <f aca="false">IFERROR(M22/D22,0)</f>
        <v>0</v>
      </c>
      <c r="P22" s="19"/>
    </row>
    <row r="23" customFormat="false" ht="25.5" hidden="false" customHeight="true" outlineLevel="0" collapsed="false">
      <c r="A23" s="18" t="n">
        <v>15</v>
      </c>
      <c r="B23" s="19"/>
      <c r="C23" s="19"/>
      <c r="D23" s="20"/>
      <c r="E23" s="19"/>
      <c r="F23" s="21"/>
      <c r="G23" s="20"/>
      <c r="H23" s="20"/>
      <c r="I23" s="20"/>
      <c r="J23" s="20"/>
      <c r="K23" s="20"/>
      <c r="L23" s="20"/>
      <c r="M23" s="16" t="n">
        <f aca="false">SUM(G23:L23)</f>
        <v>0</v>
      </c>
      <c r="N23" s="16" t="n">
        <f aca="false">D23-M23</f>
        <v>0</v>
      </c>
      <c r="O23" s="17" t="n">
        <f aca="false">IFERROR(M23/D23,0)</f>
        <v>0</v>
      </c>
      <c r="P23" s="19"/>
    </row>
    <row r="24" customFormat="false" ht="25.5" hidden="false" customHeight="true" outlineLevel="0" collapsed="false">
      <c r="A24" s="18" t="n">
        <v>16</v>
      </c>
      <c r="B24" s="19"/>
      <c r="C24" s="19"/>
      <c r="D24" s="20"/>
      <c r="E24" s="19"/>
      <c r="F24" s="21"/>
      <c r="G24" s="20"/>
      <c r="H24" s="20"/>
      <c r="I24" s="20"/>
      <c r="J24" s="20"/>
      <c r="K24" s="20"/>
      <c r="L24" s="20"/>
      <c r="M24" s="16" t="n">
        <f aca="false">SUM(G24:L24)</f>
        <v>0</v>
      </c>
      <c r="N24" s="16" t="n">
        <f aca="false">D24-M24</f>
        <v>0</v>
      </c>
      <c r="O24" s="17" t="n">
        <f aca="false">IFERROR(M24/D24,0)</f>
        <v>0</v>
      </c>
      <c r="P24" s="19"/>
    </row>
    <row r="25" customFormat="false" ht="25.5" hidden="false" customHeight="true" outlineLevel="0" collapsed="false">
      <c r="A25" s="18" t="n">
        <v>17</v>
      </c>
      <c r="B25" s="19"/>
      <c r="C25" s="19"/>
      <c r="D25" s="20"/>
      <c r="E25" s="19"/>
      <c r="F25" s="21"/>
      <c r="G25" s="20"/>
      <c r="H25" s="20"/>
      <c r="I25" s="20"/>
      <c r="J25" s="20"/>
      <c r="K25" s="20"/>
      <c r="L25" s="20"/>
      <c r="M25" s="16" t="n">
        <f aca="false">SUM(G25:L25)</f>
        <v>0</v>
      </c>
      <c r="N25" s="16" t="n">
        <f aca="false">D25-M25</f>
        <v>0</v>
      </c>
      <c r="O25" s="17" t="n">
        <f aca="false">IFERROR(M25/D25,0)</f>
        <v>0</v>
      </c>
      <c r="P25" s="19"/>
    </row>
    <row r="26" customFormat="false" ht="25.5" hidden="false" customHeight="true" outlineLevel="0" collapsed="false">
      <c r="A26" s="18" t="n">
        <v>18</v>
      </c>
      <c r="B26" s="19"/>
      <c r="C26" s="19"/>
      <c r="D26" s="20"/>
      <c r="E26" s="19"/>
      <c r="F26" s="21"/>
      <c r="G26" s="20"/>
      <c r="H26" s="20"/>
      <c r="I26" s="20"/>
      <c r="J26" s="20"/>
      <c r="K26" s="20"/>
      <c r="L26" s="20"/>
      <c r="M26" s="16" t="n">
        <f aca="false">SUM(G26:L26)</f>
        <v>0</v>
      </c>
      <c r="N26" s="16" t="n">
        <f aca="false">D26-M26</f>
        <v>0</v>
      </c>
      <c r="O26" s="17" t="n">
        <f aca="false">IFERROR(M26/D26,0)</f>
        <v>0</v>
      </c>
      <c r="P26" s="19"/>
    </row>
    <row r="27" customFormat="false" ht="25.5" hidden="false" customHeight="true" outlineLevel="0" collapsed="false">
      <c r="A27" s="18" t="n">
        <v>19</v>
      </c>
      <c r="B27" s="19"/>
      <c r="C27" s="19"/>
      <c r="D27" s="20"/>
      <c r="E27" s="19"/>
      <c r="F27" s="21"/>
      <c r="G27" s="20"/>
      <c r="H27" s="20"/>
      <c r="I27" s="20"/>
      <c r="J27" s="20"/>
      <c r="K27" s="20"/>
      <c r="L27" s="20"/>
      <c r="M27" s="16" t="n">
        <f aca="false">SUM(G27:L27)</f>
        <v>0</v>
      </c>
      <c r="N27" s="16" t="n">
        <f aca="false">D27-M27</f>
        <v>0</v>
      </c>
      <c r="O27" s="17" t="n">
        <f aca="false">IFERROR(M27/D27,0)</f>
        <v>0</v>
      </c>
      <c r="P27" s="19"/>
    </row>
    <row r="28" customFormat="false" ht="25.5" hidden="false" customHeight="true" outlineLevel="0" collapsed="false">
      <c r="A28" s="18" t="n">
        <v>20</v>
      </c>
      <c r="B28" s="19"/>
      <c r="C28" s="19"/>
      <c r="D28" s="20"/>
      <c r="E28" s="19"/>
      <c r="F28" s="21"/>
      <c r="G28" s="20"/>
      <c r="H28" s="20"/>
      <c r="I28" s="20"/>
      <c r="J28" s="20"/>
      <c r="K28" s="20"/>
      <c r="L28" s="20"/>
      <c r="M28" s="16" t="n">
        <f aca="false">SUM(G28:L28)</f>
        <v>0</v>
      </c>
      <c r="N28" s="16" t="n">
        <f aca="false">D28-M28</f>
        <v>0</v>
      </c>
      <c r="O28" s="17" t="n">
        <f aca="false">IFERROR(M28/D28,0)</f>
        <v>0</v>
      </c>
      <c r="P28" s="19"/>
    </row>
    <row r="29" customFormat="false" ht="15" hidden="false" customHeight="true" outlineLevel="0" collapsed="false">
      <c r="A29" s="22" t="s">
        <v>54</v>
      </c>
      <c r="B29" s="22"/>
      <c r="C29" s="22"/>
      <c r="D29" s="23" t="n">
        <f aca="false">SUM(D9:D28)</f>
        <v>88</v>
      </c>
      <c r="E29" s="22"/>
      <c r="F29" s="22"/>
      <c r="G29" s="23" t="n">
        <f aca="false">SUM(G9:G28)</f>
        <v>16</v>
      </c>
      <c r="H29" s="23" t="n">
        <f aca="false">SUM(H9:H28)</f>
        <v>16</v>
      </c>
      <c r="I29" s="23" t="n">
        <f aca="false">SUM(I9:I28)</f>
        <v>8</v>
      </c>
      <c r="J29" s="23" t="n">
        <f aca="false">SUM(J9:J28)</f>
        <v>0</v>
      </c>
      <c r="K29" s="23" t="n">
        <f aca="false">SUM(K9:K28)</f>
        <v>0</v>
      </c>
      <c r="L29" s="23" t="n">
        <f aca="false">SUM(L9:L28)</f>
        <v>0</v>
      </c>
      <c r="M29" s="23" t="n">
        <f aca="false">SUM(M9:M28)</f>
        <v>40</v>
      </c>
      <c r="N29" s="23" t="n">
        <f aca="false">D29-M29</f>
        <v>48</v>
      </c>
      <c r="O29" s="24" t="n">
        <f aca="false">IFERROR(M29/D29,0)</f>
        <v>0.454545454545455</v>
      </c>
      <c r="P29" s="22"/>
    </row>
    <row r="31" customFormat="false" ht="15" hidden="false" customHeight="false" outlineLevel="0" collapsed="false">
      <c r="A31" s="25" t="s">
        <v>55</v>
      </c>
    </row>
    <row r="32" customFormat="false" ht="15" hidden="false" customHeight="false" outlineLevel="0" collapsed="false">
      <c r="A32" s="26" t="s">
        <v>56</v>
      </c>
      <c r="B32" s="26"/>
      <c r="C32" s="26"/>
      <c r="D32" s="26"/>
    </row>
    <row r="33" customFormat="false" ht="15" hidden="false" customHeight="false" outlineLevel="0" collapsed="false">
      <c r="A33" s="27" t="s">
        <v>57</v>
      </c>
      <c r="B33" s="27"/>
      <c r="C33" s="27"/>
      <c r="D33" s="27"/>
      <c r="E33" s="27"/>
      <c r="F33" s="27"/>
    </row>
    <row r="34" customFormat="false" ht="15" hidden="false" customHeight="false" outlineLevel="0" collapsed="false">
      <c r="A34" s="27" t="s">
        <v>58</v>
      </c>
      <c r="B34" s="27"/>
      <c r="C34" s="27"/>
      <c r="D34" s="27"/>
      <c r="E34" s="27"/>
      <c r="F34" s="27"/>
      <c r="G34" s="27"/>
      <c r="H34" s="27"/>
      <c r="I34" s="27"/>
      <c r="J34" s="27"/>
    </row>
    <row r="35" customFormat="false" ht="15" hidden="false" customHeight="false" outlineLevel="0" collapsed="false">
      <c r="A35" s="27" t="s">
        <v>59</v>
      </c>
      <c r="B35" s="27"/>
      <c r="C35" s="27"/>
      <c r="D35" s="27"/>
      <c r="E35" s="27"/>
      <c r="F35" s="27"/>
      <c r="G35" s="27"/>
      <c r="H35" s="27"/>
      <c r="I35" s="27"/>
      <c r="J35" s="27"/>
      <c r="K35" s="27"/>
      <c r="L35" s="27"/>
    </row>
  </sheetData>
  <mergeCells count="14">
    <mergeCell ref="A1:P1"/>
    <mergeCell ref="A2:D2"/>
    <mergeCell ref="E2:H2"/>
    <mergeCell ref="I2:J2"/>
    <mergeCell ref="A3:D3"/>
    <mergeCell ref="E3:H3"/>
    <mergeCell ref="A4:D4"/>
    <mergeCell ref="E4:H4"/>
    <mergeCell ref="G6:L6"/>
    <mergeCell ref="A29:C29"/>
    <mergeCell ref="A32:D32"/>
    <mergeCell ref="A33:F33"/>
    <mergeCell ref="A34:J34"/>
    <mergeCell ref="A35:L35"/>
  </mergeCells>
  <conditionalFormatting sqref="N9:N28">
    <cfRule type="cellIs" priority="2" operator="lessThan" aboveAverage="0" equalAverage="0" bottom="0" percent="0" rank="0" text="" dxfId="0">
      <formula>0</formula>
    </cfRule>
    <cfRule type="cellIs" priority="3" operator="equal" aboveAverage="0" equalAverage="0" bottom="0" percent="0" rank="0" text="" dxfId="1">
      <formula>0</formula>
    </cfRule>
    <cfRule type="expression" priority="4" aboveAverage="0" equalAverage="0" bottom="0" percent="0" rank="0" text="" dxfId="2">
      <formula>N9&gt;0</formula>
    </cfRule>
  </conditionalFormatting>
  <dataValidations count="2">
    <dataValidation allowBlank="true" errorStyle="stop" operator="between" showDropDown="false" showErrorMessage="false" showInputMessage="false" sqref="B9:B28" type="list">
      <formula1>Listes!$A$2:$A$9</formula1>
      <formula2>0</formula2>
    </dataValidation>
    <dataValidation allowBlank="true" errorStyle="stop" operator="between" showDropDown="false" showErrorMessage="false" showInputMessage="false" sqref="F9:F28" type="list">
      <formula1>Listes!$B$2:$B$4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30"/>
    <col collapsed="false" customWidth="true" hidden="false" outlineLevel="0" max="4" min="3" style="0" width="18"/>
    <col collapsed="false" customWidth="true" hidden="false" outlineLevel="0" max="5" min="5" style="0" width="3"/>
    <col collapsed="false" customWidth="true" hidden="false" outlineLevel="0" max="6" min="6" style="0" width="30"/>
    <col collapsed="false" customWidth="true" hidden="false" outlineLevel="0" max="8" min="7" style="0" width="16"/>
  </cols>
  <sheetData>
    <row r="1" customFormat="false" ht="25.5" hidden="false" customHeight="true" outlineLevel="0" collapsed="false">
      <c r="A1" s="1" t="s">
        <v>60</v>
      </c>
      <c r="B1" s="1"/>
      <c r="C1" s="1"/>
      <c r="D1" s="1"/>
      <c r="E1" s="1"/>
      <c r="F1" s="1"/>
      <c r="G1" s="1"/>
      <c r="H1" s="1"/>
    </row>
    <row r="3" customFormat="false" ht="19.5" hidden="false" customHeight="true" outlineLevel="0" collapsed="false">
      <c r="B3" s="28" t="s">
        <v>61</v>
      </c>
      <c r="C3" s="28"/>
      <c r="D3" s="28" t="s">
        <v>62</v>
      </c>
      <c r="E3" s="28"/>
      <c r="F3" s="28" t="s">
        <v>63</v>
      </c>
      <c r="G3" s="28"/>
      <c r="H3" s="28" t="s">
        <v>64</v>
      </c>
      <c r="I3" s="28"/>
    </row>
    <row r="4" customFormat="false" ht="19.5" hidden="false" customHeight="true" outlineLevel="0" collapsed="false">
      <c r="B4" s="29" t="n">
        <f aca="false">'Planning Chantier'!D29</f>
        <v>88</v>
      </c>
      <c r="C4" s="29"/>
      <c r="D4" s="29" t="n">
        <f aca="false">'Planning Chantier'!M29</f>
        <v>40</v>
      </c>
      <c r="E4" s="29"/>
      <c r="F4" s="29" t="n">
        <f aca="false">'Planning Chantier'!N29</f>
        <v>48</v>
      </c>
      <c r="G4" s="29"/>
      <c r="H4" s="30" t="n">
        <f aca="false">'Planning Chantier'!O29</f>
        <v>0.454545454545455</v>
      </c>
      <c r="I4" s="30"/>
    </row>
    <row r="5" customFormat="false" ht="19.5" hidden="false" customHeight="true" outlineLevel="0" collapsed="false">
      <c r="B5" s="29"/>
      <c r="C5" s="29"/>
      <c r="D5" s="29"/>
      <c r="E5" s="29"/>
      <c r="F5" s="29"/>
      <c r="G5" s="29"/>
      <c r="H5" s="30"/>
      <c r="I5" s="30"/>
    </row>
    <row r="8" customFormat="false" ht="15" hidden="false" customHeight="false" outlineLevel="0" collapsed="false">
      <c r="B8" s="2" t="s">
        <v>65</v>
      </c>
      <c r="C8" s="2"/>
      <c r="D8" s="2"/>
      <c r="F8" s="2" t="s">
        <v>66</v>
      </c>
      <c r="G8" s="2"/>
      <c r="H8" s="2"/>
    </row>
    <row r="9" customFormat="false" ht="15" hidden="false" customHeight="false" outlineLevel="0" collapsed="false">
      <c r="B9" s="31" t="s">
        <v>23</v>
      </c>
      <c r="C9" s="31" t="s">
        <v>67</v>
      </c>
      <c r="D9" s="31" t="s">
        <v>68</v>
      </c>
      <c r="F9" s="31" t="s">
        <v>69</v>
      </c>
      <c r="G9" s="31" t="s">
        <v>70</v>
      </c>
      <c r="H9" s="31" t="s">
        <v>68</v>
      </c>
    </row>
    <row r="10" customFormat="false" ht="15" hidden="false" customHeight="false" outlineLevel="0" collapsed="false">
      <c r="B10" s="32" t="s">
        <v>39</v>
      </c>
      <c r="C10" s="16" t="n">
        <f aca="false">SUMIF('Planning Chantier'!$B$9:$B$28,B10,'Planning Chantier'!$D$9:$D$28)</f>
        <v>32</v>
      </c>
      <c r="D10" s="16" t="n">
        <f aca="false">SUMIF('Planning Chantier'!$B$9:$B$28,B10,'Planning Chantier'!$M$9:$M$28)</f>
        <v>24</v>
      </c>
      <c r="F10" s="32" t="s">
        <v>71</v>
      </c>
      <c r="G10" s="33" t="n">
        <f aca="false">IF('Planning Chantier'!G8="","",'Planning Chantier'!G8)</f>
        <v>46266</v>
      </c>
      <c r="H10" s="16" t="n">
        <f aca="false">'Planning Chantier'!G29</f>
        <v>16</v>
      </c>
    </row>
    <row r="11" customFormat="false" ht="15" hidden="false" customHeight="false" outlineLevel="0" collapsed="false">
      <c r="B11" s="32" t="s">
        <v>44</v>
      </c>
      <c r="C11" s="16" t="n">
        <f aca="false">SUMIF('Planning Chantier'!$B$9:$B$28,B11,'Planning Chantier'!$D$9:$D$28)</f>
        <v>40</v>
      </c>
      <c r="D11" s="16" t="n">
        <f aca="false">SUMIF('Planning Chantier'!$B$9:$B$28,B11,'Planning Chantier'!$M$9:$M$28)</f>
        <v>0</v>
      </c>
      <c r="F11" s="32" t="s">
        <v>72</v>
      </c>
      <c r="G11" s="33" t="n">
        <f aca="false">IF('Planning Chantier'!H8="","",'Planning Chantier'!H8)</f>
        <v>46268</v>
      </c>
      <c r="H11" s="16" t="n">
        <f aca="false">'Planning Chantier'!H29</f>
        <v>16</v>
      </c>
    </row>
    <row r="12" customFormat="false" ht="15" hidden="false" customHeight="false" outlineLevel="0" collapsed="false">
      <c r="B12" s="32" t="s">
        <v>73</v>
      </c>
      <c r="C12" s="16" t="n">
        <f aca="false">SUMIF('Planning Chantier'!$B$9:$B$28,B12,'Planning Chantier'!$D$9:$D$28)</f>
        <v>0</v>
      </c>
      <c r="D12" s="16" t="n">
        <f aca="false">SUMIF('Planning Chantier'!$B$9:$B$28,B12,'Planning Chantier'!$M$9:$M$28)</f>
        <v>0</v>
      </c>
      <c r="F12" s="32" t="s">
        <v>74</v>
      </c>
      <c r="G12" s="33" t="n">
        <f aca="false">IF('Planning Chantier'!I8="","",'Planning Chantier'!I8)</f>
        <v>46273</v>
      </c>
      <c r="H12" s="16" t="n">
        <f aca="false">'Planning Chantier'!I29</f>
        <v>8</v>
      </c>
    </row>
    <row r="13" customFormat="false" ht="15" hidden="false" customHeight="false" outlineLevel="0" collapsed="false">
      <c r="B13" s="32" t="s">
        <v>49</v>
      </c>
      <c r="C13" s="16" t="n">
        <f aca="false">SUMIF('Planning Chantier'!$B$9:$B$28,B13,'Planning Chantier'!$D$9:$D$28)</f>
        <v>16</v>
      </c>
      <c r="D13" s="16" t="n">
        <f aca="false">SUMIF('Planning Chantier'!$B$9:$B$28,B13,'Planning Chantier'!$M$9:$M$28)</f>
        <v>16</v>
      </c>
      <c r="F13" s="32" t="s">
        <v>75</v>
      </c>
      <c r="G13" s="33" t="str">
        <f aca="false">IF('Planning Chantier'!J8="","",'Planning Chantier'!J8)</f>
        <v/>
      </c>
      <c r="H13" s="16" t="n">
        <f aca="false">'Planning Chantier'!J29</f>
        <v>0</v>
      </c>
    </row>
    <row r="14" customFormat="false" ht="15" hidden="false" customHeight="false" outlineLevel="0" collapsed="false">
      <c r="B14" s="32" t="s">
        <v>76</v>
      </c>
      <c r="C14" s="16" t="n">
        <f aca="false">SUMIF('Planning Chantier'!$B$9:$B$28,B14,'Planning Chantier'!$D$9:$D$28)</f>
        <v>0</v>
      </c>
      <c r="D14" s="16" t="n">
        <f aca="false">SUMIF('Planning Chantier'!$B$9:$B$28,B14,'Planning Chantier'!$M$9:$M$28)</f>
        <v>0</v>
      </c>
      <c r="F14" s="32" t="s">
        <v>77</v>
      </c>
      <c r="G14" s="33" t="str">
        <f aca="false">IF('Planning Chantier'!K8="","",'Planning Chantier'!K8)</f>
        <v/>
      </c>
      <c r="H14" s="16" t="n">
        <f aca="false">'Planning Chantier'!K29</f>
        <v>0</v>
      </c>
    </row>
    <row r="15" customFormat="false" ht="15" hidden="false" customHeight="false" outlineLevel="0" collapsed="false">
      <c r="B15" s="32" t="s">
        <v>78</v>
      </c>
      <c r="C15" s="16" t="n">
        <f aca="false">SUMIF('Planning Chantier'!$B$9:$B$28,B15,'Planning Chantier'!$D$9:$D$28)</f>
        <v>0</v>
      </c>
      <c r="D15" s="16" t="n">
        <f aca="false">SUMIF('Planning Chantier'!$B$9:$B$28,B15,'Planning Chantier'!$M$9:$M$28)</f>
        <v>0</v>
      </c>
      <c r="F15" s="32" t="s">
        <v>79</v>
      </c>
      <c r="G15" s="33" t="str">
        <f aca="false">IF('Planning Chantier'!L8="","",'Planning Chantier'!L8)</f>
        <v/>
      </c>
      <c r="H15" s="16" t="n">
        <f aca="false">'Planning Chantier'!L29</f>
        <v>0</v>
      </c>
    </row>
    <row r="16" customFormat="false" ht="15" hidden="false" customHeight="false" outlineLevel="0" collapsed="false">
      <c r="B16" s="32" t="s">
        <v>80</v>
      </c>
      <c r="C16" s="16" t="n">
        <f aca="false">SUMIF('Planning Chantier'!$B$9:$B$28,B16,'Planning Chantier'!$D$9:$D$28)</f>
        <v>0</v>
      </c>
      <c r="D16" s="16" t="n">
        <f aca="false">SUMIF('Planning Chantier'!$B$9:$B$28,B16,'Planning Chantier'!$M$9:$M$28)</f>
        <v>0</v>
      </c>
      <c r="F16" s="34" t="s">
        <v>54</v>
      </c>
      <c r="G16" s="22"/>
      <c r="H16" s="22" t="n">
        <f aca="false">SUM(H10:H15)</f>
        <v>40</v>
      </c>
    </row>
    <row r="17" customFormat="false" ht="15" hidden="false" customHeight="false" outlineLevel="0" collapsed="false">
      <c r="B17" s="32" t="s">
        <v>81</v>
      </c>
      <c r="C17" s="16" t="n">
        <f aca="false">SUMIF('Planning Chantier'!$B$9:$B$28,B17,'Planning Chantier'!$D$9:$D$28)</f>
        <v>0</v>
      </c>
      <c r="D17" s="16" t="n">
        <f aca="false">SUMIF('Planning Chantier'!$B$9:$B$28,B17,'Planning Chantier'!$M$9:$M$28)</f>
        <v>0</v>
      </c>
    </row>
    <row r="18" customFormat="false" ht="15" hidden="false" customHeight="false" outlineLevel="0" collapsed="false">
      <c r="B18" s="34" t="s">
        <v>54</v>
      </c>
      <c r="C18" s="22" t="n">
        <f aca="false">SUM(C10:C17)</f>
        <v>88</v>
      </c>
      <c r="D18" s="22" t="n">
        <f aca="false">SUM(D10:D17)</f>
        <v>40</v>
      </c>
    </row>
  </sheetData>
  <mergeCells count="11">
    <mergeCell ref="A1:H1"/>
    <mergeCell ref="B3:C3"/>
    <mergeCell ref="D3:E3"/>
    <mergeCell ref="F3:G3"/>
    <mergeCell ref="H3:I3"/>
    <mergeCell ref="B4:C5"/>
    <mergeCell ref="D4:E5"/>
    <mergeCell ref="F4:G5"/>
    <mergeCell ref="H4:I5"/>
    <mergeCell ref="B8:D8"/>
    <mergeCell ref="F8:H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2"/>
    <col collapsed="false" customWidth="true" hidden="false" outlineLevel="0" max="2" min="2" style="0" width="16"/>
  </cols>
  <sheetData>
    <row r="1" customFormat="false" ht="15" hidden="false" customHeight="false" outlineLevel="0" collapsed="false">
      <c r="A1" s="25" t="s">
        <v>82</v>
      </c>
      <c r="B1" s="25" t="s">
        <v>83</v>
      </c>
    </row>
    <row r="2" customFormat="false" ht="15" hidden="false" customHeight="false" outlineLevel="0" collapsed="false">
      <c r="A2" s="0" t="s">
        <v>39</v>
      </c>
      <c r="B2" s="0" t="s">
        <v>47</v>
      </c>
    </row>
    <row r="3" customFormat="false" ht="15" hidden="false" customHeight="false" outlineLevel="0" collapsed="false">
      <c r="A3" s="0" t="s">
        <v>44</v>
      </c>
      <c r="B3" s="0" t="s">
        <v>42</v>
      </c>
    </row>
    <row r="4" customFormat="false" ht="15" hidden="false" customHeight="false" outlineLevel="0" collapsed="false">
      <c r="A4" s="0" t="s">
        <v>73</v>
      </c>
      <c r="B4" s="0" t="s">
        <v>52</v>
      </c>
    </row>
    <row r="5" customFormat="false" ht="15" hidden="false" customHeight="false" outlineLevel="0" collapsed="false">
      <c r="A5" s="0" t="s">
        <v>49</v>
      </c>
    </row>
    <row r="6" customFormat="false" ht="15" hidden="false" customHeight="false" outlineLevel="0" collapsed="false">
      <c r="A6" s="0" t="s">
        <v>76</v>
      </c>
    </row>
    <row r="7" customFormat="false" ht="15" hidden="false" customHeight="false" outlineLevel="0" collapsed="false">
      <c r="A7" s="0" t="s">
        <v>78</v>
      </c>
    </row>
    <row r="8" customFormat="false" ht="15" hidden="false" customHeight="false" outlineLevel="0" collapsed="false">
      <c r="A8" s="0" t="s">
        <v>80</v>
      </c>
    </row>
    <row r="9" customFormat="false" ht="15" hidden="false" customHeight="false" outlineLevel="0" collapsed="false">
      <c r="A9" s="0" t="s">
        <v>81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2026-08-27T14:19:57Z</dcterms:created>
  <dc:creator>openpyxl</dc:creator>
  <dc:description/>
  <dc:language>en-US</dc:language>
  <cp:lastModifiedBy/>
  <dcterms:modified xsi:type="dcterms:W3CDTF">2026-08-27T14:20:03Z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